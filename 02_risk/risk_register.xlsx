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Not applicable (no LLM)" sheetId="4" state="visible" r:id="rId4"/>
  </sheets>
  <definedNames>
    <definedName name="_xlnm._FilterDatabase" localSheetId="0" hidden="1">'Risk Register'!$A$1:$N$29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4B6B6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11" customWidth="1" min="4" max="4"/>
    <col width="9" customWidth="1" min="5" max="5"/>
    <col width="10" customWidth="1" min="6" max="6"/>
    <col width="9" customWidth="1" min="7" max="7"/>
    <col width="11" customWidth="1" min="8" max="8"/>
    <col width="20" customWidth="1" min="9" max="9"/>
    <col width="28" customWidth="1" min="10" max="10"/>
    <col width="24" customWidth="1" min="11" max="11"/>
    <col width="26" customWidth="1" min="12" max="12"/>
    <col width="44" customWidth="1" min="13" max="13"/>
    <col width="46" customWidth="1" min="14" max="14"/>
  </cols>
  <sheetData>
    <row r="1" ht="32" customHeight="1">
      <c r="A1" s="1" t="inlineStr">
        <is>
          <t>Risk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Inherent score</t>
        </is>
      </c>
      <c r="G1" s="1" t="inlineStr">
        <is>
          <t>Rating</t>
        </is>
      </c>
      <c r="H1" s="1" t="inlineStr">
        <is>
          <t>NIST function</t>
        </is>
      </c>
      <c r="I1" s="1" t="inlineStr">
        <is>
          <t>NIST AI RMF ref</t>
        </is>
      </c>
      <c r="J1" s="1" t="inlineStr">
        <is>
          <t>ISO/IEC 42001 ref</t>
        </is>
      </c>
      <c r="K1" s="1" t="inlineStr">
        <is>
          <t>OWASP ref</t>
        </is>
      </c>
      <c r="L1" s="1" t="inlineStr">
        <is>
          <t>UK principle</t>
        </is>
      </c>
      <c r="M1" s="1" t="inlineStr">
        <is>
          <t>Basis / evidence</t>
        </is>
      </c>
      <c r="N1" s="1" t="inlineStr">
        <is>
          <t>Scoring rationale</t>
        </is>
      </c>
    </row>
    <row r="2">
      <c r="A2" s="2" t="inlineStr">
        <is>
          <t>R01</t>
        </is>
      </c>
      <c r="B2" s="2" t="inlineStr">
        <is>
          <t>Real errors missed on data unlike the planted patterns (false negatives)</t>
        </is>
      </c>
      <c r="C2" s="2" t="inlineStr">
        <is>
          <t>Accuracy / performance</t>
        </is>
      </c>
      <c r="D2" s="3" t="n">
        <v>4</v>
      </c>
      <c r="E2" s="3" t="n">
        <v>4</v>
      </c>
      <c r="F2" s="4">
        <f>D2*E2</f>
        <v/>
      </c>
      <c r="G2" s="4">
        <f>IF(F2&gt;=Scoring!$B$11,"High",IF(F2&gt;=Scoring!$B$12,"Medium","Low"))</f>
        <v/>
      </c>
      <c r="H2" s="2" t="inlineStr">
        <is>
          <t>Measure</t>
        </is>
      </c>
      <c r="I2" s="2" t="inlineStr">
        <is>
          <t>MEASURE 2.3, 2.5</t>
        </is>
      </c>
      <c r="J2" s="2" t="inlineStr">
        <is>
          <t>A.6 (life cycle: verification and validation)</t>
        </is>
      </c>
      <c r="K2" s="2" t="inlineStr">
        <is>
          <t>n/a</t>
        </is>
      </c>
      <c r="L2" s="2" t="inlineStr">
        <is>
          <t>Safety, security, robustness</t>
        </is>
      </c>
      <c r="M2" s="2" t="inlineStr">
        <is>
          <t>SysDesc s9: validation used patterns written to fit the rules; no unseen-data test</t>
        </is>
      </c>
      <c r="N2" s="2" t="inlineStr">
        <is>
          <t>Likely: rules are narrow and fixed. High impact: a missed duplicate or break is the main cost.</t>
        </is>
      </c>
    </row>
    <row r="3">
      <c r="A3" s="2" t="inlineStr">
        <is>
          <t>R02</t>
        </is>
      </c>
      <c r="B3" s="2" t="inlineStr">
        <is>
          <t>Clean items wrongly flagged (false positives) create review burden and desensitise reviewers</t>
        </is>
      </c>
      <c r="C3" s="2" t="inlineStr">
        <is>
          <t>Accuracy / performance</t>
        </is>
      </c>
      <c r="D3" s="3" t="n">
        <v>4</v>
      </c>
      <c r="E3" s="3" t="n">
        <v>3</v>
      </c>
      <c r="F3" s="4">
        <f>D3*E3</f>
        <v/>
      </c>
      <c r="G3" s="4">
        <f>IF(F3&gt;=Scoring!$B$11,"High",IF(F3&gt;=Scoring!$B$12,"Medium","Low"))</f>
        <v/>
      </c>
      <c r="H3" s="2" t="inlineStr">
        <is>
          <t>Measure</t>
        </is>
      </c>
      <c r="I3" s="2" t="inlineStr">
        <is>
          <t>MEASURE 2.3</t>
        </is>
      </c>
      <c r="J3" s="2" t="inlineStr">
        <is>
          <t>A.6 (verification and validation)</t>
        </is>
      </c>
      <c r="K3" s="2" t="inlineStr">
        <is>
          <t>n/a</t>
        </is>
      </c>
      <c r="L3" s="2" t="inlineStr">
        <is>
          <t>Safety, security, robustness</t>
        </is>
      </c>
      <c r="M3" s="2" t="inlineStr">
        <is>
          <t>Precision 0.70 (Xero), 0.778 (synthetic); 24 FPs on 5,000 lines</t>
        </is>
      </c>
      <c r="N3" s="2" t="inlineStr">
        <is>
          <t>Already observed at below the 0.80 criterion. Moderate impact: cost is time, not misstatement.</t>
        </is>
      </c>
    </row>
    <row r="4">
      <c r="A4" s="2" t="inlineStr">
        <is>
          <t>R03</t>
        </is>
      </c>
      <c r="B4" s="2" t="inlineStr">
        <is>
          <t>Reported accuracy is overstated because validation was circular (planted anomalies designed to fit the rules)</t>
        </is>
      </c>
      <c r="C4" s="2" t="inlineStr">
        <is>
          <t>Accuracy / performance</t>
        </is>
      </c>
      <c r="D4" s="3" t="n">
        <v>5</v>
      </c>
      <c r="E4" s="3" t="n">
        <v>4</v>
      </c>
      <c r="F4" s="4">
        <f>D4*E4</f>
        <v/>
      </c>
      <c r="G4" s="4">
        <f>IF(F4&gt;=Scoring!$B$11,"High",IF(F4&gt;=Scoring!$B$12,"Medium","Low"))</f>
        <v/>
      </c>
      <c r="H4" s="2" t="inlineStr">
        <is>
          <t>Measure</t>
        </is>
      </c>
      <c r="I4" s="2" t="inlineStr">
        <is>
          <t>MEASURE 2.1, 2.3</t>
        </is>
      </c>
      <c r="J4" s="2" t="inlineStr">
        <is>
          <t>A.6 (verification and validation)</t>
        </is>
      </c>
      <c r="K4" s="2" t="inlineStr">
        <is>
          <t>n/a</t>
        </is>
      </c>
      <c r="L4" s="2" t="inlineStr">
        <is>
          <t>Appropriate transparency and explainability</t>
        </is>
      </c>
      <c r="M4" s="2" t="inlineStr">
        <is>
          <t>README states planted patterns were written to fit the rules; Xero A2 tuned to per-contact VAT</t>
        </is>
      </c>
      <c r="N4" s="2" t="inlineStr">
        <is>
          <t>Certain as designed. High impact: a reader could rely on 7/7 as evidence of general accuracy.</t>
        </is>
      </c>
    </row>
    <row r="5">
      <c r="A5" s="2" t="inlineStr">
        <is>
          <t>R04</t>
        </is>
      </c>
      <c r="B5" s="2" t="inlineStr">
        <is>
          <t>Duplicate supplier bills not detected: A1 checks sales invoices (ACCREC) only</t>
        </is>
      </c>
      <c r="C5" s="2" t="inlineStr">
        <is>
          <t>Accuracy / performance</t>
        </is>
      </c>
      <c r="D5" s="3" t="n">
        <v>3</v>
      </c>
      <c r="E5" s="3" t="n">
        <v>4</v>
      </c>
      <c r="F5" s="4">
        <f>D5*E5</f>
        <v/>
      </c>
      <c r="G5" s="4">
        <f>IF(F5&gt;=Scoring!$B$11,"High",IF(F5&gt;=Scoring!$B$12,"Medium","Low"))</f>
        <v/>
      </c>
      <c r="H5" s="2" t="inlineStr">
        <is>
          <t>Measure</t>
        </is>
      </c>
      <c r="I5" s="2" t="inlineStr">
        <is>
          <t>MEASURE 2.3</t>
        </is>
      </c>
      <c r="J5" s="2" t="inlineStr">
        <is>
          <t>A.6 (verification and validation)</t>
        </is>
      </c>
      <c r="K5" s="2" t="inlineStr">
        <is>
          <t>n/a</t>
        </is>
      </c>
      <c r="L5" s="2" t="inlineStr">
        <is>
          <t>Safety, security, robustness</t>
        </is>
      </c>
      <c r="M5" s="2" t="inlineStr">
        <is>
          <t>rules.py:35-58 (ACCREC filter); to be confirmed in Phase 4</t>
        </is>
      </c>
      <c r="N5" s="2" t="inlineStr">
        <is>
          <t>Possible gap pending test. Duplicate payables is a core reconciliation risk, so impact is high.</t>
        </is>
      </c>
    </row>
    <row r="6">
      <c r="A6" s="2" t="inlineStr">
        <is>
          <t>R05</t>
        </is>
      </c>
      <c r="B6" s="2" t="inlineStr">
        <is>
          <t>A1 compares adjacent sorted rows only, so three or more near-identical entries may be under-reported</t>
        </is>
      </c>
      <c r="C6" s="2" t="inlineStr">
        <is>
          <t>Accuracy / performance</t>
        </is>
      </c>
      <c r="D6" s="3" t="n">
        <v>2</v>
      </c>
      <c r="E6" s="3" t="n">
        <v>3</v>
      </c>
      <c r="F6" s="4">
        <f>D6*E6</f>
        <v/>
      </c>
      <c r="G6" s="4">
        <f>IF(F6&gt;=Scoring!$B$11,"High",IF(F6&gt;=Scoring!$B$12,"Medium","Low"))</f>
        <v/>
      </c>
      <c r="H6" s="2" t="inlineStr">
        <is>
          <t>Measure</t>
        </is>
      </c>
      <c r="I6" s="2" t="inlineStr">
        <is>
          <t>MEASURE 2.3</t>
        </is>
      </c>
      <c r="J6" s="2" t="inlineStr">
        <is>
          <t>A.6 (verification and validation)</t>
        </is>
      </c>
      <c r="K6" s="2" t="inlineStr">
        <is>
          <t>n/a</t>
        </is>
      </c>
      <c r="L6" s="2" t="inlineStr">
        <is>
          <t>Safety, security, robustness</t>
        </is>
      </c>
      <c r="M6" s="2" t="inlineStr">
        <is>
          <t>rules.py:35-58; to be confirmed in Phase 4</t>
        </is>
      </c>
      <c r="N6" s="2" t="inlineStr">
        <is>
          <t>Uncommon pattern, and the pair is still flagged. Impact limited.</t>
        </is>
      </c>
    </row>
    <row r="7">
      <c r="A7" s="2" t="inlineStr">
        <is>
          <t>R06</t>
        </is>
      </c>
      <c r="B7" s="2" t="inlineStr">
        <is>
          <t>Fixed thresholds and tolerances (A3 £500, match tolerances, windows) are uncalibrated, unapproved and easy to avoid</t>
        </is>
      </c>
      <c r="C7" s="2" t="inlineStr">
        <is>
          <t>Accuracy / performance</t>
        </is>
      </c>
      <c r="D7" s="3" t="n">
        <v>3</v>
      </c>
      <c r="E7" s="3" t="n">
        <v>3</v>
      </c>
      <c r="F7" s="4">
        <f>D7*E7</f>
        <v/>
      </c>
      <c r="G7" s="4">
        <f>IF(F7&gt;=Scoring!$B$11,"High",IF(F7&gt;=Scoring!$B$12,"Medium","Low"))</f>
        <v/>
      </c>
      <c r="H7" s="2" t="inlineStr">
        <is>
          <t>Map</t>
        </is>
      </c>
      <c r="I7" s="2" t="inlineStr">
        <is>
          <t>MAP 2.3, MAP 1.6</t>
        </is>
      </c>
      <c r="J7" s="2" t="inlineStr">
        <is>
          <t>A.6 (design and development)</t>
        </is>
      </c>
      <c r="K7" s="2" t="inlineStr">
        <is>
          <t>n/a</t>
        </is>
      </c>
      <c r="L7" s="2" t="inlineStr">
        <is>
          <t>Safety, security, robustness</t>
        </is>
      </c>
      <c r="M7" s="2" t="inlineStr">
        <is>
          <t>matcher.py:17-20; rules.py:119; constants in code, no approval record</t>
        </is>
      </c>
      <c r="N7" s="2" t="inlineStr">
        <is>
          <t>Fixed constants can be gamed by a small change in amount or date.</t>
        </is>
      </c>
    </row>
    <row r="8">
      <c r="A8" s="2" t="inlineStr">
        <is>
          <t>R07</t>
        </is>
      </c>
      <c r="B8" s="2" t="inlineStr">
        <is>
          <t>Statistical outlier check (A7) is unreliable on small or uniform account populations</t>
        </is>
      </c>
      <c r="C8" s="2" t="inlineStr">
        <is>
          <t>Accuracy / performance</t>
        </is>
      </c>
      <c r="D8" s="3" t="n">
        <v>3</v>
      </c>
      <c r="E8" s="3" t="n">
        <v>3</v>
      </c>
      <c r="F8" s="4">
        <f>D8*E8</f>
        <v/>
      </c>
      <c r="G8" s="4">
        <f>IF(F8&gt;=Scoring!$B$11,"High",IF(F8&gt;=Scoring!$B$12,"Medium","Low"))</f>
        <v/>
      </c>
      <c r="H8" s="2" t="inlineStr">
        <is>
          <t>Measure</t>
        </is>
      </c>
      <c r="I8" s="2" t="inlineStr">
        <is>
          <t>MEASURE 2.5</t>
        </is>
      </c>
      <c r="J8" s="2" t="inlineStr">
        <is>
          <t>A.6 (verification and validation)</t>
        </is>
      </c>
      <c r="K8" s="2" t="inlineStr">
        <is>
          <t>n/a</t>
        </is>
      </c>
      <c r="L8" s="2" t="inlineStr">
        <is>
          <t>Safety, security, robustness</t>
        </is>
      </c>
      <c r="M8" s="2" t="inlineStr">
        <is>
          <t>statistical.py:43-60 (MAD-based; MAD=0 branch); live sample tiny</t>
        </is>
      </c>
      <c r="N8" s="2" t="inlineStr">
        <is>
          <t>Median/MAD degrades with few points. Moderate impact.</t>
        </is>
      </c>
    </row>
    <row r="9">
      <c r="A9" s="2" t="inlineStr">
        <is>
          <t>R08</t>
        </is>
      </c>
      <c r="B9" s="2" t="inlineStr">
        <is>
          <t>Reconciliation attributes bank lines to the wrong document, loses genuine matches or gives different results depending on record order (first match taken, no one-to-one allocation)</t>
        </is>
      </c>
      <c r="C9" s="2" t="inlineStr">
        <is>
          <t>Accuracy / performance</t>
        </is>
      </c>
      <c r="D9" s="3" t="n">
        <v>4</v>
      </c>
      <c r="E9" s="3" t="n">
        <v>4</v>
      </c>
      <c r="F9" s="4">
        <f>D9*E9</f>
        <v/>
      </c>
      <c r="G9" s="4">
        <f>IF(F9&gt;=Scoring!$B$11,"High",IF(F9&gt;=Scoring!$B$12,"Medium","Low"))</f>
        <v/>
      </c>
      <c r="H9" s="2" t="inlineStr">
        <is>
          <t>Measure</t>
        </is>
      </c>
      <c r="I9" s="2" t="inlineStr">
        <is>
          <t>MEASURE 2.3</t>
        </is>
      </c>
      <c r="J9" s="2" t="inlineStr">
        <is>
          <t>A.6 (verification and validation)</t>
        </is>
      </c>
      <c r="K9" s="2" t="inlineStr">
        <is>
          <t>n/a</t>
        </is>
      </c>
      <c r="L9" s="2" t="inlineStr">
        <is>
          <t>Safety, security, robustness</t>
        </is>
      </c>
      <c r="M9" s="2" t="inlineStr">
        <is>
          <t>Order dependence demonstrated (Phase 4, E-06); recurring receipt misattribution (E-02); QuickBooks 0/40 explained by sandbox data, not proven a matcher failure</t>
        </is>
      </c>
      <c r="N9" s="2" t="inlineStr">
        <is>
          <t>Demonstrated: reordering rows lost a true duplicate payment and created false ones. Impact raised to 4 (a missed duplicate payment).</t>
        </is>
      </c>
    </row>
    <row r="10">
      <c r="A10" s="2" t="inlineStr">
        <is>
          <t>R09</t>
        </is>
      </c>
      <c r="B10" s="2" t="inlineStr">
        <is>
          <t>Weekend-posting rule (A4) produces false positives on legitimate items and ignores public holidays</t>
        </is>
      </c>
      <c r="C10" s="2" t="inlineStr">
        <is>
          <t>Accuracy / performance</t>
        </is>
      </c>
      <c r="D10" s="3" t="n">
        <v>3</v>
      </c>
      <c r="E10" s="3" t="n">
        <v>2</v>
      </c>
      <c r="F10" s="4">
        <f>D10*E10</f>
        <v/>
      </c>
      <c r="G10" s="4">
        <f>IF(F10&gt;=Scoring!$B$11,"High",IF(F10&gt;=Scoring!$B$12,"Medium","Low"))</f>
        <v/>
      </c>
      <c r="H10" s="2" t="inlineStr">
        <is>
          <t>Measure</t>
        </is>
      </c>
      <c r="I10" s="2" t="inlineStr">
        <is>
          <t>MEASURE 2.3</t>
        </is>
      </c>
      <c r="J10" s="2" t="inlineStr">
        <is>
          <t>A.6 (verification and validation)</t>
        </is>
      </c>
      <c r="K10" s="2" t="inlineStr">
        <is>
          <t>n/a</t>
        </is>
      </c>
      <c r="L10" s="2" t="inlineStr">
        <is>
          <t>Safety, security, robustness</t>
        </is>
      </c>
      <c r="M10" s="2" t="inlineStr">
        <is>
          <t>rules.py:146-160 (weekday test)</t>
        </is>
      </c>
      <c r="N10" s="2" t="inlineStr">
        <is>
          <t>Low value signal but low harm.</t>
        </is>
      </c>
    </row>
    <row r="11">
      <c r="A11" s="2" t="inlineStr">
        <is>
          <t>R10</t>
        </is>
      </c>
      <c r="B11" s="2" t="inlineStr">
        <is>
          <t>Variance explanations name drivers that move against the headline, cannot name contacts that disappeared, and read as causal explanations</t>
        </is>
      </c>
      <c r="C11" s="2" t="inlineStr">
        <is>
          <t>Explainability / transparency</t>
        </is>
      </c>
      <c r="D11" s="3" t="n">
        <v>4</v>
      </c>
      <c r="E11" s="3" t="n">
        <v>3</v>
      </c>
      <c r="F11" s="4">
        <f>D11*E11</f>
        <v/>
      </c>
      <c r="G11" s="4">
        <f>IF(F11&gt;=Scoring!$B$11,"High",IF(F11&gt;=Scoring!$B$12,"Medium","Low"))</f>
        <v/>
      </c>
      <c r="H11" s="2" t="inlineStr">
        <is>
          <t>Measure</t>
        </is>
      </c>
      <c r="I11" s="2" t="inlineStr">
        <is>
          <t>MEASURE 2.8</t>
        </is>
      </c>
      <c r="J11" s="2" t="inlineStr">
        <is>
          <t>A.8 (information for interested parties)</t>
        </is>
      </c>
      <c r="K11" s="2" t="inlineStr">
        <is>
          <t>n/a</t>
        </is>
      </c>
      <c r="L11" s="2" t="inlineStr">
        <is>
          <t>Appropriate transparency and explainability</t>
        </is>
      </c>
      <c r="M11" s="2" t="inlineStr">
        <is>
          <t>17 of 52 test sentences and 35 of 69 on Northbridge's synthetic data name an opposing driver (E-05); explainer.py:88-93</t>
        </is>
      </c>
      <c r="N11" s="2" t="inlineStr">
        <is>
          <t>Demonstrated defect in templated text (not hallucination); likelihood raised to 4.</t>
        </is>
      </c>
    </row>
    <row r="12">
      <c r="A12" s="2" t="inlineStr">
        <is>
          <t>R11</t>
        </is>
      </c>
      <c r="B12" s="2" t="inlineStr">
        <is>
          <t>Unpinned dependencies allow silent behaviour change across installs or redeploys</t>
        </is>
      </c>
      <c r="C12" s="2" t="inlineStr">
        <is>
          <t>Consistency / determinism</t>
        </is>
      </c>
      <c r="D12" s="3" t="n">
        <v>3</v>
      </c>
      <c r="E12" s="3" t="n">
        <v>3</v>
      </c>
      <c r="F12" s="4">
        <f>D12*E12</f>
        <v/>
      </c>
      <c r="G12" s="4">
        <f>IF(F12&gt;=Scoring!$B$11,"High",IF(F12&gt;=Scoring!$B$12,"Medium","Low"))</f>
        <v/>
      </c>
      <c r="H12" s="2" t="inlineStr">
        <is>
          <t>Manage</t>
        </is>
      </c>
      <c r="I12" s="2" t="inlineStr">
        <is>
          <t>MANAGE 2.3</t>
        </is>
      </c>
      <c r="J12" s="2" t="inlineStr">
        <is>
          <t>A.6 (life cycle: change)</t>
        </is>
      </c>
      <c r="K12" s="2" t="inlineStr">
        <is>
          <t>n/a</t>
        </is>
      </c>
      <c r="L12" s="2" t="inlineStr">
        <is>
          <t>Safety, security, robustness</t>
        </is>
      </c>
      <c r="M12" s="2" t="inlineStr">
        <is>
          <t>requirements.txt unpinned; no lockfile</t>
        </is>
      </c>
      <c r="N12" s="2" t="inlineStr">
        <is>
          <t>Streamlit Cloud rebuilds from unpinned requirements; effect on output unknown.</t>
        </is>
      </c>
    </row>
    <row r="13">
      <c r="A13" s="2" t="inlineStr">
        <is>
          <t>R12</t>
        </is>
      </c>
      <c r="B13" s="2" t="inlineStr">
        <is>
          <t>Incomplete or malformed ledger data (missing contacts, voided invoices, unlinked payments) yields confident but wrong results</t>
        </is>
      </c>
      <c r="C13" s="2" t="inlineStr">
        <is>
          <t>Data quality</t>
        </is>
      </c>
      <c r="D13" s="3" t="n">
        <v>3</v>
      </c>
      <c r="E13" s="3" t="n">
        <v>4</v>
      </c>
      <c r="F13" s="4">
        <f>D13*E13</f>
        <v/>
      </c>
      <c r="G13" s="4">
        <f>IF(F13&gt;=Scoring!$B$11,"High",IF(F13&gt;=Scoring!$B$12,"Medium","Low"))</f>
        <v/>
      </c>
      <c r="H13" s="2" t="inlineStr">
        <is>
          <t>Map</t>
        </is>
      </c>
      <c r="I13" s="2" t="inlineStr">
        <is>
          <t>MAP 2.3</t>
        </is>
      </c>
      <c r="J13" s="2" t="inlineStr">
        <is>
          <t>A.7 (data for AI systems)</t>
        </is>
      </c>
      <c r="K13" s="2" t="inlineStr">
        <is>
          <t>n/a</t>
        </is>
      </c>
      <c r="L13" s="2" t="inlineStr">
        <is>
          <t>Safety, security, robustness</t>
        </is>
      </c>
      <c r="M13" s="2" t="inlineStr">
        <is>
          <t>Coverage table shows unlinked payments, no-contact bank lines</t>
        </is>
      </c>
      <c r="N13" s="2" t="inlineStr">
        <is>
          <t>Real ledgers are messy; no input validation gate found.</t>
        </is>
      </c>
    </row>
    <row r="14">
      <c r="A14" s="2" t="inlineStr">
        <is>
          <t>R13</t>
        </is>
      </c>
      <c r="B14" s="2" t="inlineStr">
        <is>
          <t>Incomplete data pull (pagination, sync gaps) silently under-covers the ledger</t>
        </is>
      </c>
      <c r="C14" s="2" t="inlineStr">
        <is>
          <t>Data quality</t>
        </is>
      </c>
      <c r="D14" s="3" t="n">
        <v>3</v>
      </c>
      <c r="E14" s="3" t="n">
        <v>4</v>
      </c>
      <c r="F14" s="4">
        <f>D14*E14</f>
        <v/>
      </c>
      <c r="G14" s="4">
        <f>IF(F14&gt;=Scoring!$B$11,"High",IF(F14&gt;=Scoring!$B$12,"Medium","Low"))</f>
        <v/>
      </c>
      <c r="H14" s="2" t="inlineStr">
        <is>
          <t>Measure</t>
        </is>
      </c>
      <c r="I14" s="2" t="inlineStr">
        <is>
          <t>MEASURE 2.5</t>
        </is>
      </c>
      <c r="J14" s="2" t="inlineStr">
        <is>
          <t>A.7 (data for AI systems)</t>
        </is>
      </c>
      <c r="K14" s="2" t="inlineStr">
        <is>
          <t>n/a</t>
        </is>
      </c>
      <c r="L14" s="2" t="inlineStr">
        <is>
          <t>Safety, security, robustness</t>
        </is>
      </c>
      <c r="M14" s="2" t="inlineStr">
        <is>
          <t>Pagination tested with mocks only, not live APIs</t>
        </is>
      </c>
      <c r="N14" s="2" t="inlineStr">
        <is>
          <t>Recent change, untested live; completeness is not reported to the user.</t>
        </is>
      </c>
    </row>
    <row r="15">
      <c r="A15" s="2" t="inlineStr">
        <is>
          <t>R14</t>
        </is>
      </c>
      <c r="B15" s="2" t="inlineStr">
        <is>
          <t>No human disposition step: flags may be ignored, or actioned with no record</t>
        </is>
      </c>
      <c r="C15" s="2" t="inlineStr">
        <is>
          <t>Human oversight</t>
        </is>
      </c>
      <c r="D15" s="3" t="n">
        <v>4</v>
      </c>
      <c r="E15" s="3" t="n">
        <v>4</v>
      </c>
      <c r="F15" s="4">
        <f>D15*E15</f>
        <v/>
      </c>
      <c r="G15" s="4">
        <f>IF(F15&gt;=Scoring!$B$11,"High",IF(F15&gt;=Scoring!$B$12,"Medium","Low"))</f>
        <v/>
      </c>
      <c r="H15" s="2" t="inlineStr">
        <is>
          <t>Map</t>
        </is>
      </c>
      <c r="I15" s="2" t="inlineStr">
        <is>
          <t>MAP 3.5</t>
        </is>
      </c>
      <c r="J15" s="2" t="inlineStr">
        <is>
          <t>A.9 (use of AI systems)</t>
        </is>
      </c>
      <c r="K15" s="2" t="inlineStr">
        <is>
          <t>LLM06 Excessive Agency (by analogy)</t>
        </is>
      </c>
      <c r="L15" s="2" t="inlineStr">
        <is>
          <t>Accountability and governance</t>
        </is>
      </c>
      <c r="M15" s="2" t="inlineStr">
        <is>
          <t>No accept/reject/sign-off in code (SysDesc s4)</t>
        </is>
      </c>
      <c r="N15" s="2" t="inlineStr">
        <is>
          <t>Oversight is implicit. Without a record, review cannot be evidenced.</t>
        </is>
      </c>
    </row>
    <row r="16">
      <c r="A16" s="2" t="inlineStr">
        <is>
          <t>R15</t>
        </is>
      </c>
      <c r="B16" s="2" t="inlineStr">
        <is>
          <t>Reviewers over-rely on the tool because of the 'AI-native' label and the 7/7 headline</t>
        </is>
      </c>
      <c r="C16" s="2" t="inlineStr">
        <is>
          <t>Human oversight</t>
        </is>
      </c>
      <c r="D16" s="3" t="n">
        <v>3</v>
      </c>
      <c r="E16" s="3" t="n">
        <v>4</v>
      </c>
      <c r="F16" s="4">
        <f>D16*E16</f>
        <v/>
      </c>
      <c r="G16" s="4">
        <f>IF(F16&gt;=Scoring!$B$11,"High",IF(F16&gt;=Scoring!$B$12,"Medium","Low"))</f>
        <v/>
      </c>
      <c r="H16" s="2" t="inlineStr">
        <is>
          <t>Govern</t>
        </is>
      </c>
      <c r="I16" s="2" t="inlineStr">
        <is>
          <t>GOVERN 1.2</t>
        </is>
      </c>
      <c r="J16" s="2" t="inlineStr">
        <is>
          <t>A.9 (use of AI systems)</t>
        </is>
      </c>
      <c r="K16" s="2" t="inlineStr">
        <is>
          <t>LLM09 Overreliance (by analogy)</t>
        </is>
      </c>
      <c r="L16" s="2" t="inlineStr">
        <is>
          <t>Appropriate transparency and explainability</t>
        </is>
      </c>
      <c r="M16" s="2" t="inlineStr">
        <is>
          <t>README.md:5; 7/7 claim</t>
        </is>
      </c>
      <c r="N16" s="2" t="inlineStr">
        <is>
          <t>Plausible with non-technical readers.</t>
        </is>
      </c>
    </row>
    <row r="17">
      <c r="A17" s="2" t="inlineStr">
        <is>
          <t>R16</t>
        </is>
      </c>
      <c r="B17" s="2" t="inlineStr">
        <is>
          <t>QuickBooks scope is read/write although the code only reads (excessive permission)</t>
        </is>
      </c>
      <c r="C17" s="2" t="inlineStr">
        <is>
          <t>Security</t>
        </is>
      </c>
      <c r="D17" s="3" t="n">
        <v>2</v>
      </c>
      <c r="E17" s="3" t="n">
        <v>5</v>
      </c>
      <c r="F17" s="4">
        <f>D17*E17</f>
        <v/>
      </c>
      <c r="G17" s="4">
        <f>IF(F17&gt;=Scoring!$B$11,"High",IF(F17&gt;=Scoring!$B$12,"Medium","Low"))</f>
        <v/>
      </c>
      <c r="H17" s="2" t="inlineStr">
        <is>
          <t>Manage</t>
        </is>
      </c>
      <c r="I17" s="2" t="inlineStr">
        <is>
          <t>MANAGE 2.3</t>
        </is>
      </c>
      <c r="J17" s="2" t="inlineStr">
        <is>
          <t>A.6 (design)</t>
        </is>
      </c>
      <c r="K17" s="2" t="inlineStr">
        <is>
          <t>LLM06 Excessive Agency (by analogy)</t>
        </is>
      </c>
      <c r="L17" s="2" t="inlineStr">
        <is>
          <t>Safety, security, robustness</t>
        </is>
      </c>
      <c r="M17" s="2" t="inlineStr">
        <is>
          <t>quickbooks_connector.py:24; only GET and token POSTs in code</t>
        </is>
      </c>
      <c r="N17" s="2" t="inlineStr">
        <is>
          <t>Low likelihood while code is read-only; severe if credentials or code were misused (ledger write).</t>
        </is>
      </c>
    </row>
    <row r="18">
      <c r="A18" s="2" t="inlineStr">
        <is>
          <t>R17</t>
        </is>
      </c>
      <c r="B18" s="2" t="inlineStr">
        <is>
          <t>Refresh tokens stored in plaintext in .env</t>
        </is>
      </c>
      <c r="C18" s="2" t="inlineStr">
        <is>
          <t>Security</t>
        </is>
      </c>
      <c r="D18" s="3" t="n">
        <v>3</v>
      </c>
      <c r="E18" s="3" t="n">
        <v>4</v>
      </c>
      <c r="F18" s="4">
        <f>D18*E18</f>
        <v/>
      </c>
      <c r="G18" s="4">
        <f>IF(F18&gt;=Scoring!$B$11,"High",IF(F18&gt;=Scoring!$B$12,"Medium","Low"))</f>
        <v/>
      </c>
      <c r="H18" s="2" t="inlineStr">
        <is>
          <t>Manage</t>
        </is>
      </c>
      <c r="I18" s="2" t="inlineStr">
        <is>
          <t>MANAGE 2.3</t>
        </is>
      </c>
      <c r="J18" s="2" t="inlineStr">
        <is>
          <t>A.6 (design); A.7</t>
        </is>
      </c>
      <c r="K18" s="2" t="inlineStr">
        <is>
          <t>n/a</t>
        </is>
      </c>
      <c r="L18" s="2" t="inlineStr">
        <is>
          <t>Safety, security, robustness</t>
        </is>
      </c>
      <c r="M18" s="2" t="inlineStr">
        <is>
          <t>xero_connector.py:190-193</t>
        </is>
      </c>
      <c r="N18" s="2" t="inlineStr">
        <is>
          <t>Local file, but plaintext refresh tokens persist and grant ongoing access.</t>
        </is>
      </c>
    </row>
    <row r="19">
      <c r="A19" s="2" t="inlineStr">
        <is>
          <t>R18</t>
        </is>
      </c>
      <c r="B19" s="2" t="inlineStr">
        <is>
          <t>Secrets or real data leak to the public repo (secrets protection depends on .gitignore alone)</t>
        </is>
      </c>
      <c r="C19" s="2" t="inlineStr">
        <is>
          <t>Security</t>
        </is>
      </c>
      <c r="D19" s="3" t="n">
        <v>2</v>
      </c>
      <c r="E19" s="3" t="n">
        <v>5</v>
      </c>
      <c r="F19" s="4">
        <f>D19*E19</f>
        <v/>
      </c>
      <c r="G19" s="4">
        <f>IF(F19&gt;=Scoring!$B$11,"High",IF(F19&gt;=Scoring!$B$12,"Medium","Low"))</f>
        <v/>
      </c>
      <c r="H19" s="2" t="inlineStr">
        <is>
          <t>Manage</t>
        </is>
      </c>
      <c r="I19" s="2" t="inlineStr">
        <is>
          <t>MANAGE 2.3</t>
        </is>
      </c>
      <c r="J19" s="2" t="inlineStr">
        <is>
          <t>A.6; A.7</t>
        </is>
      </c>
      <c r="K19" s="2" t="inlineStr">
        <is>
          <t>n/a</t>
        </is>
      </c>
      <c r="L19" s="2" t="inlineStr">
        <is>
          <t>Safety, security, robustness</t>
        </is>
      </c>
      <c r="M19" s="2" t="inlineStr">
        <is>
          <t>git log --all -- .env empty; secrets scan reported once (not repeated)</t>
        </is>
      </c>
      <c r="N19" s="2" t="inlineStr">
        <is>
          <t>No leak evidenced; single control (.gitignore); severe if it fails.</t>
        </is>
      </c>
    </row>
    <row r="20">
      <c r="A20" s="2" t="inlineStr">
        <is>
          <t>R19</t>
        </is>
      </c>
      <c r="B20" s="2" t="inlineStr">
        <is>
          <t>Real client or personal data (e.g. contact names) processed without a data-protection assessment</t>
        </is>
      </c>
      <c r="C20" s="2" t="inlineStr">
        <is>
          <t>Privacy</t>
        </is>
      </c>
      <c r="D20" s="3" t="n">
        <v>2</v>
      </c>
      <c r="E20" s="3" t="n">
        <v>4</v>
      </c>
      <c r="F20" s="4">
        <f>D20*E20</f>
        <v/>
      </c>
      <c r="G20" s="4">
        <f>IF(F20&gt;=Scoring!$B$11,"High",IF(F20&gt;=Scoring!$B$12,"Medium","Low"))</f>
        <v/>
      </c>
      <c r="H20" s="2" t="inlineStr">
        <is>
          <t>Govern</t>
        </is>
      </c>
      <c r="I20" s="2" t="inlineStr">
        <is>
          <t>GOVERN 1.1; MEASURE 2.10</t>
        </is>
      </c>
      <c r="J20" s="2" t="inlineStr">
        <is>
          <t>A.5 (impact assessment); A.7</t>
        </is>
      </c>
      <c r="K20" s="2" t="inlineStr">
        <is>
          <t>n/a</t>
        </is>
      </c>
      <c r="L20" s="2" t="inlineStr">
        <is>
          <t>Safety, security, robustness</t>
        </is>
      </c>
      <c r="M20" s="2" t="inlineStr">
        <is>
          <t>Data currently fictional or vendor sandbox; UK GDPR applies if real data used</t>
        </is>
      </c>
      <c r="N20" s="2" t="inlineStr">
        <is>
          <t>Low today by design. Risk arises if used beyond the demo.</t>
        </is>
      </c>
    </row>
    <row r="21">
      <c r="A21" s="2" t="inlineStr">
        <is>
          <t>R20</t>
        </is>
      </c>
      <c r="B21" s="2" t="inlineStr">
        <is>
          <t>Rules or thresholds changed without regression testing (no automated tests exist)</t>
        </is>
      </c>
      <c r="C21" s="2" t="inlineStr">
        <is>
          <t>Change management</t>
        </is>
      </c>
      <c r="D21" s="3" t="n">
        <v>4</v>
      </c>
      <c r="E21" s="3" t="n">
        <v>4</v>
      </c>
      <c r="F21" s="4">
        <f>D21*E21</f>
        <v/>
      </c>
      <c r="G21" s="4">
        <f>IF(F21&gt;=Scoring!$B$11,"High",IF(F21&gt;=Scoring!$B$12,"Medium","Low"))</f>
        <v/>
      </c>
      <c r="H21" s="2" t="inlineStr">
        <is>
          <t>Manage</t>
        </is>
      </c>
      <c r="I21" s="2" t="inlineStr">
        <is>
          <t>MANAGE 4.1</t>
        </is>
      </c>
      <c r="J21" s="2" t="inlineStr">
        <is>
          <t>A.6 (life cycle: change)</t>
        </is>
      </c>
      <c r="K21" s="2" t="inlineStr">
        <is>
          <t>n/a</t>
        </is>
      </c>
      <c r="L21" s="2" t="inlineStr">
        <is>
          <t>Accountability and governance</t>
        </is>
      </c>
      <c r="M21" s="2" t="inlineStr">
        <is>
          <t>No tests/ directory; 13 commits, no tags</t>
        </is>
      </c>
      <c r="N21" s="2" t="inlineStr">
        <is>
          <t>Any edit can alter detection without being noticed.</t>
        </is>
      </c>
    </row>
    <row r="22">
      <c r="A22" s="2" t="inlineStr">
        <is>
          <t>R21</t>
        </is>
      </c>
      <c r="B22" s="2" t="inlineStr">
        <is>
          <t>Outputs cannot be tied to a code version (no releases, tags or version stamps)</t>
        </is>
      </c>
      <c r="C22" s="2" t="inlineStr">
        <is>
          <t>Change management</t>
        </is>
      </c>
      <c r="D22" s="3" t="n">
        <v>4</v>
      </c>
      <c r="E22" s="3" t="n">
        <v>3</v>
      </c>
      <c r="F22" s="4">
        <f>D22*E22</f>
        <v/>
      </c>
      <c r="G22" s="4">
        <f>IF(F22&gt;=Scoring!$B$11,"High",IF(F22&gt;=Scoring!$B$12,"Medium","Low"))</f>
        <v/>
      </c>
      <c r="H22" s="2" t="inlineStr">
        <is>
          <t>Govern</t>
        </is>
      </c>
      <c r="I22" s="2" t="inlineStr">
        <is>
          <t>GOVERN 1.6</t>
        </is>
      </c>
      <c r="J22" s="2" t="inlineStr">
        <is>
          <t>A.6 (life cycle: documentation)</t>
        </is>
      </c>
      <c r="K22" s="2" t="inlineStr">
        <is>
          <t>n/a</t>
        </is>
      </c>
      <c r="L22" s="2" t="inlineStr">
        <is>
          <t>Accountability and governance</t>
        </is>
      </c>
      <c r="M22" s="2" t="inlineStr">
        <is>
          <t>No tags; no version in output</t>
        </is>
      </c>
      <c r="N22" s="2" t="inlineStr">
        <is>
          <t>Limits the ability to reproduce or defend a result.</t>
        </is>
      </c>
    </row>
    <row r="23">
      <c r="A23" s="2" t="inlineStr">
        <is>
          <t>R22</t>
        </is>
      </c>
      <c r="B23" s="2" t="inlineStr">
        <is>
          <t>Vendor dependency: Xero trial expiry, API changes, Intuit sandbox changes</t>
        </is>
      </c>
      <c r="C23" s="2" t="inlineStr">
        <is>
          <t>Third party</t>
        </is>
      </c>
      <c r="D23" s="3" t="n">
        <v>3</v>
      </c>
      <c r="E23" s="3" t="n">
        <v>2</v>
      </c>
      <c r="F23" s="4">
        <f>D23*E23</f>
        <v/>
      </c>
      <c r="G23" s="4">
        <f>IF(F23&gt;=Scoring!$B$11,"High",IF(F23&gt;=Scoring!$B$12,"Medium","Low"))</f>
        <v/>
      </c>
      <c r="H23" s="2" t="inlineStr">
        <is>
          <t>Govern</t>
        </is>
      </c>
      <c r="I23" s="2" t="inlineStr">
        <is>
          <t>GOVERN 6.1</t>
        </is>
      </c>
      <c r="J23" s="2" t="inlineStr">
        <is>
          <t>A.10 (third-party relationships)</t>
        </is>
      </c>
      <c r="K23" s="2" t="inlineStr">
        <is>
          <t>n/a</t>
        </is>
      </c>
      <c r="L23" s="2" t="inlineStr">
        <is>
          <t>Safety, security, robustness</t>
        </is>
      </c>
      <c r="M23" s="2" t="inlineStr">
        <is>
          <t>Xero trial lapses after 30 days (README)</t>
        </is>
      </c>
      <c r="N23" s="2" t="inlineStr">
        <is>
          <t>Frequent for trials; effect is loss of live re-runs, not incorrect output.</t>
        </is>
      </c>
    </row>
    <row r="24">
      <c r="A24" s="2" t="inlineStr">
        <is>
          <t>R23</t>
        </is>
      </c>
      <c r="B24" s="2" t="inlineStr">
        <is>
          <t>Platform and library supply-chain dependency (Streamlit Cloud, unpinned packages)</t>
        </is>
      </c>
      <c r="C24" s="2" t="inlineStr">
        <is>
          <t>Third party</t>
        </is>
      </c>
      <c r="D24" s="3" t="n">
        <v>2</v>
      </c>
      <c r="E24" s="3" t="n">
        <v>3</v>
      </c>
      <c r="F24" s="4">
        <f>D24*E24</f>
        <v/>
      </c>
      <c r="G24" s="4">
        <f>IF(F24&gt;=Scoring!$B$11,"High",IF(F24&gt;=Scoring!$B$12,"Medium","Low"))</f>
        <v/>
      </c>
      <c r="H24" s="2" t="inlineStr">
        <is>
          <t>Govern</t>
        </is>
      </c>
      <c r="I24" s="2" t="inlineStr">
        <is>
          <t>GOVERN 6.1</t>
        </is>
      </c>
      <c r="J24" s="2" t="inlineStr">
        <is>
          <t>A.10 (third-party relationships)</t>
        </is>
      </c>
      <c r="K24" s="2" t="inlineStr">
        <is>
          <t>n/a</t>
        </is>
      </c>
      <c r="L24" s="2" t="inlineStr">
        <is>
          <t>Safety, security, robustness</t>
        </is>
      </c>
      <c r="M24" s="2" t="inlineStr">
        <is>
          <t>requirements.txt; public deployment</t>
        </is>
      </c>
      <c r="N24" s="2" t="inlineStr">
        <is>
          <t>Low probability, moderate impact on availability and integrity of the demo.</t>
        </is>
      </c>
    </row>
    <row r="25">
      <c r="A25" s="2" t="inlineStr">
        <is>
          <t>R24</t>
        </is>
      </c>
      <c r="B25" s="2" t="inlineStr">
        <is>
          <t>No run log or audit trail (input, code version, timestamp, output) so results cannot be re-performed or evidenced</t>
        </is>
      </c>
      <c r="C25" s="2" t="inlineStr">
        <is>
          <t>Monitoring</t>
        </is>
      </c>
      <c r="D25" s="3" t="n">
        <v>5</v>
      </c>
      <c r="E25" s="3" t="n">
        <v>4</v>
      </c>
      <c r="F25" s="4">
        <f>D25*E25</f>
        <v/>
      </c>
      <c r="G25" s="4">
        <f>IF(F25&gt;=Scoring!$B$11,"High",IF(F25&gt;=Scoring!$B$12,"Medium","Low"))</f>
        <v/>
      </c>
      <c r="H25" s="2" t="inlineStr">
        <is>
          <t>Manage</t>
        </is>
      </c>
      <c r="I25" s="2" t="inlineStr">
        <is>
          <t>MANAGE 4.1, MEASURE 2.8</t>
        </is>
      </c>
      <c r="J25" s="2" t="inlineStr">
        <is>
          <t>A.6 (records); A.8</t>
        </is>
      </c>
      <c r="K25" s="2" t="inlineStr">
        <is>
          <t>n/a</t>
        </is>
      </c>
      <c r="L25" s="2" t="inlineStr">
        <is>
          <t>Accountability and governance</t>
        </is>
      </c>
      <c r="M25" s="2" t="inlineStr">
        <is>
          <t>No logging, no run table (SysDesc s8)</t>
        </is>
      </c>
      <c r="N25" s="2" t="inlineStr">
        <is>
          <t>Certain as built. Undermines evidence for any reliance.</t>
        </is>
      </c>
    </row>
    <row r="26">
      <c r="A26" s="2" t="inlineStr">
        <is>
          <t>R25</t>
        </is>
      </c>
      <c r="B26" s="2" t="inlineStr">
        <is>
          <t>No documented owner, intended use, known limitations or escalation route</t>
        </is>
      </c>
      <c r="C26" s="2" t="inlineStr">
        <is>
          <t>Governance</t>
        </is>
      </c>
      <c r="D26" s="3" t="n">
        <v>4</v>
      </c>
      <c r="E26" s="3" t="n">
        <v>3</v>
      </c>
      <c r="F26" s="4">
        <f>D26*E26</f>
        <v/>
      </c>
      <c r="G26" s="4">
        <f>IF(F26&gt;=Scoring!$B$11,"High",IF(F26&gt;=Scoring!$B$12,"Medium","Low"))</f>
        <v/>
      </c>
      <c r="H26" s="2" t="inlineStr">
        <is>
          <t>Govern</t>
        </is>
      </c>
      <c r="I26" s="2" t="inlineStr">
        <is>
          <t>GOVERN 1.4, GOVERN 2.1, MAP 1.1</t>
        </is>
      </c>
      <c r="J26" s="2" t="inlineStr">
        <is>
          <t>A.2; A.3 (policy, roles)</t>
        </is>
      </c>
      <c r="K26" s="2" t="inlineStr">
        <is>
          <t>n/a</t>
        </is>
      </c>
      <c r="L26" s="2" t="inlineStr">
        <is>
          <t>Accountability and governance</t>
        </is>
      </c>
      <c r="M26" s="2" t="inlineStr">
        <is>
          <t>README says 'not production software'; no owner or intended-use statement</t>
        </is>
      </c>
      <c r="N26" s="2" t="inlineStr">
        <is>
          <t>Partly mitigated by the disclaimers, but unowned in practice.</t>
        </is>
      </c>
    </row>
    <row r="27">
      <c r="A27" s="2" t="inlineStr">
        <is>
          <t>R26</t>
        </is>
      </c>
      <c r="B27" s="2" t="inlineStr">
        <is>
          <t>Ambiguous 'AI-native' and 'agent' positioning of a rules-based system: the README never says no model is used</t>
        </is>
      </c>
      <c r="C27" s="2" t="inlineStr">
        <is>
          <t>Explainability / transparency</t>
        </is>
      </c>
      <c r="D27" s="3" t="n">
        <v>4</v>
      </c>
      <c r="E27" s="3" t="n">
        <v>3</v>
      </c>
      <c r="F27" s="4">
        <f>D27*E27</f>
        <v/>
      </c>
      <c r="G27" s="4">
        <f>IF(F27&gt;=Scoring!$B$11,"High",IF(F27&gt;=Scoring!$B$12,"Medium","Low"))</f>
        <v/>
      </c>
      <c r="H27" s="2" t="inlineStr">
        <is>
          <t>Govern</t>
        </is>
      </c>
      <c r="I27" s="2" t="inlineStr">
        <is>
          <t>GOVERN 1.2; MEASURE 2.8</t>
        </is>
      </c>
      <c r="J27" s="2" t="inlineStr">
        <is>
          <t>A.8 (information for interested parties)</t>
        </is>
      </c>
      <c r="K27" s="2" t="inlineStr">
        <is>
          <t>n/a</t>
        </is>
      </c>
      <c r="L27" s="2" t="inlineStr">
        <is>
          <t>Appropriate transparency and explainability</t>
        </is>
      </c>
      <c r="M27" s="2" t="inlineStr">
        <is>
          <t>README.md:5 positions the tool as a small-scale version of AI-native products; title says Agent; 'rule-based' only at line 108; no LLM (SysDesc s2); corrected in evidence log E-08</t>
        </is>
      </c>
      <c r="N27" s="2" t="inlineStr">
        <is>
          <t>Present now. A reader can assume AI or adaptive behaviour; ambiguous positioning rather than a false claim.</t>
        </is>
      </c>
    </row>
    <row r="28">
      <c r="A28" s="2" t="inlineStr">
        <is>
          <t>R27</t>
        </is>
      </c>
      <c r="B28" s="2" t="inlineStr">
        <is>
          <t>Dashboard shows a hard-coded published score when the answer key is absent, which can be read as a live measurement</t>
        </is>
      </c>
      <c r="C28" s="2" t="inlineStr">
        <is>
          <t>Explainability / transparency</t>
        </is>
      </c>
      <c r="D28" s="3" t="n">
        <v>3</v>
      </c>
      <c r="E28" s="3" t="n">
        <v>3</v>
      </c>
      <c r="F28" s="4">
        <f>D28*E28</f>
        <v/>
      </c>
      <c r="G28" s="4">
        <f>IF(F28&gt;=Scoring!$B$11,"High",IF(F28&gt;=Scoring!$B$12,"Medium","Low"))</f>
        <v/>
      </c>
      <c r="H28" s="2" t="inlineStr">
        <is>
          <t>Measure</t>
        </is>
      </c>
      <c r="I28" s="2" t="inlineStr">
        <is>
          <t>MEASURE 2.8</t>
        </is>
      </c>
      <c r="J28" s="2" t="inlineStr">
        <is>
          <t>A.8 (information for interested parties)</t>
        </is>
      </c>
      <c r="K28" s="2" t="inlineStr">
        <is>
          <t>n/a</t>
        </is>
      </c>
      <c r="L28" s="2" t="inlineStr">
        <is>
          <t>Appropriate transparency and explainability</t>
        </is>
      </c>
      <c r="M28" s="2" t="inlineStr">
        <is>
          <t>dashboard/app.py:35-41, 173-178</t>
        </is>
      </c>
      <c r="N28" s="2" t="inlineStr">
        <is>
          <t>Caption discloses the figure but not that it is static.</t>
        </is>
      </c>
    </row>
    <row r="29">
      <c r="A29" s="2" t="inlineStr">
        <is>
          <t>R28</t>
        </is>
      </c>
      <c r="B29" s="2" t="inlineStr">
        <is>
          <t>Reviewer is also the developer, and code was built with AI coding tools, weakening independence and provenance assurance</t>
        </is>
      </c>
      <c r="C29" s="2" t="inlineStr">
        <is>
          <t>Governance</t>
        </is>
      </c>
      <c r="D29" s="3" t="n">
        <v>5</v>
      </c>
      <c r="E29" s="3" t="n">
        <v>2</v>
      </c>
      <c r="F29" s="4">
        <f>D29*E29</f>
        <v/>
      </c>
      <c r="G29" s="4">
        <f>IF(F29&gt;=Scoring!$B$11,"High",IF(F29&gt;=Scoring!$B$12,"Medium","Low"))</f>
        <v/>
      </c>
      <c r="H29" s="2" t="inlineStr">
        <is>
          <t>Govern</t>
        </is>
      </c>
      <c r="I29" s="2" t="inlineStr">
        <is>
          <t>GOVERN 4.1</t>
        </is>
      </c>
      <c r="J29" s="2" t="inlineStr">
        <is>
          <t>A.3 (organisation); A.6</t>
        </is>
      </c>
      <c r="K29" s="2" t="inlineStr">
        <is>
          <t>n/a</t>
        </is>
      </c>
      <c r="L29" s="2" t="inlineStr">
        <is>
          <t>Accountability and governance</t>
        </is>
      </c>
      <c r="M29" s="2" t="inlineStr">
        <is>
          <t>ToR s1 (independence disclosure)</t>
        </is>
      </c>
      <c r="N29" s="2" t="inlineStr">
        <is>
          <t>Certain; disclosed and partly mitigated by a challenge review.</t>
        </is>
      </c>
    </row>
  </sheetData>
  <autoFilter ref="A1:N29"/>
  <conditionalFormatting sqref="G2:G2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dataValidations count="1">
    <dataValidation sqref="D2:E29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Risk register summary</t>
        </is>
      </c>
    </row>
    <row r="3">
      <c r="A3" s="6" t="inlineStr">
        <is>
          <t>Category</t>
        </is>
      </c>
      <c r="B3" s="6" t="inlineStr">
        <is>
          <t>Risks</t>
        </is>
      </c>
      <c r="C3" s="6" t="inlineStr">
        <is>
          <t>High</t>
        </is>
      </c>
      <c r="D3" s="6" t="inlineStr">
        <is>
          <t>Medium</t>
        </is>
      </c>
      <c r="E3" s="6" t="inlineStr">
        <is>
          <t>Low</t>
        </is>
      </c>
    </row>
    <row r="4">
      <c r="A4" s="7" t="inlineStr">
        <is>
          <t>Accuracy / performance</t>
        </is>
      </c>
      <c r="B4" s="7">
        <f>COUNTIF('Risk Register'!$C$2:$C$29,A4)</f>
        <v/>
      </c>
      <c r="C4" s="7">
        <f>COUNTIFS('Risk Register'!$C$2:$C$29,$A4,'Risk Register'!$G$2:$G$29,"High")</f>
        <v/>
      </c>
      <c r="D4" s="7">
        <f>COUNTIFS('Risk Register'!$C$2:$C$29,$A4,'Risk Register'!$G$2:$G$29,"Medium")</f>
        <v/>
      </c>
      <c r="E4" s="7">
        <f>COUNTIFS('Risk Register'!$C$2:$C$29,$A4,'Risk Register'!$G$2:$G$29,"Low")</f>
        <v/>
      </c>
    </row>
    <row r="5">
      <c r="A5" s="7" t="inlineStr">
        <is>
          <t>Explainability / transparency</t>
        </is>
      </c>
      <c r="B5" s="7">
        <f>COUNTIF('Risk Register'!$C$2:$C$29,A5)</f>
        <v/>
      </c>
      <c r="C5" s="7">
        <f>COUNTIFS('Risk Register'!$C$2:$C$29,$A5,'Risk Register'!$G$2:$G$29,"High")</f>
        <v/>
      </c>
      <c r="D5" s="7">
        <f>COUNTIFS('Risk Register'!$C$2:$C$29,$A5,'Risk Register'!$G$2:$G$29,"Medium")</f>
        <v/>
      </c>
      <c r="E5" s="7">
        <f>COUNTIFS('Risk Register'!$C$2:$C$29,$A5,'Risk Register'!$G$2:$G$29,"Low")</f>
        <v/>
      </c>
    </row>
    <row r="6">
      <c r="A6" s="7" t="inlineStr">
        <is>
          <t>Consistency / determinism</t>
        </is>
      </c>
      <c r="B6" s="7">
        <f>COUNTIF('Risk Register'!$C$2:$C$29,A6)</f>
        <v/>
      </c>
      <c r="C6" s="7">
        <f>COUNTIFS('Risk Register'!$C$2:$C$29,$A6,'Risk Register'!$G$2:$G$29,"High")</f>
        <v/>
      </c>
      <c r="D6" s="7">
        <f>COUNTIFS('Risk Register'!$C$2:$C$29,$A6,'Risk Register'!$G$2:$G$29,"Medium")</f>
        <v/>
      </c>
      <c r="E6" s="7">
        <f>COUNTIFS('Risk Register'!$C$2:$C$29,$A6,'Risk Register'!$G$2:$G$29,"Low")</f>
        <v/>
      </c>
    </row>
    <row r="7">
      <c r="A7" s="7" t="inlineStr">
        <is>
          <t>Data quality</t>
        </is>
      </c>
      <c r="B7" s="7">
        <f>COUNTIF('Risk Register'!$C$2:$C$29,A7)</f>
        <v/>
      </c>
      <c r="C7" s="7">
        <f>COUNTIFS('Risk Register'!$C$2:$C$29,$A7,'Risk Register'!$G$2:$G$29,"High")</f>
        <v/>
      </c>
      <c r="D7" s="7">
        <f>COUNTIFS('Risk Register'!$C$2:$C$29,$A7,'Risk Register'!$G$2:$G$29,"Medium")</f>
        <v/>
      </c>
      <c r="E7" s="7">
        <f>COUNTIFS('Risk Register'!$C$2:$C$29,$A7,'Risk Register'!$G$2:$G$29,"Low")</f>
        <v/>
      </c>
    </row>
    <row r="8">
      <c r="A8" s="7" t="inlineStr">
        <is>
          <t>Human oversight</t>
        </is>
      </c>
      <c r="B8" s="7">
        <f>COUNTIF('Risk Register'!$C$2:$C$29,A8)</f>
        <v/>
      </c>
      <c r="C8" s="7">
        <f>COUNTIFS('Risk Register'!$C$2:$C$29,$A8,'Risk Register'!$G$2:$G$29,"High")</f>
        <v/>
      </c>
      <c r="D8" s="7">
        <f>COUNTIFS('Risk Register'!$C$2:$C$29,$A8,'Risk Register'!$G$2:$G$29,"Medium")</f>
        <v/>
      </c>
      <c r="E8" s="7">
        <f>COUNTIFS('Risk Register'!$C$2:$C$29,$A8,'Risk Register'!$G$2:$G$29,"Low")</f>
        <v/>
      </c>
    </row>
    <row r="9">
      <c r="A9" s="7" t="inlineStr">
        <is>
          <t>Security</t>
        </is>
      </c>
      <c r="B9" s="7">
        <f>COUNTIF('Risk Register'!$C$2:$C$29,A9)</f>
        <v/>
      </c>
      <c r="C9" s="7">
        <f>COUNTIFS('Risk Register'!$C$2:$C$29,$A9,'Risk Register'!$G$2:$G$29,"High")</f>
        <v/>
      </c>
      <c r="D9" s="7">
        <f>COUNTIFS('Risk Register'!$C$2:$C$29,$A9,'Risk Register'!$G$2:$G$29,"Medium")</f>
        <v/>
      </c>
      <c r="E9" s="7">
        <f>COUNTIFS('Risk Register'!$C$2:$C$29,$A9,'Risk Register'!$G$2:$G$29,"Low")</f>
        <v/>
      </c>
    </row>
    <row r="10">
      <c r="A10" s="7" t="inlineStr">
        <is>
          <t>Privacy</t>
        </is>
      </c>
      <c r="B10" s="7">
        <f>COUNTIF('Risk Register'!$C$2:$C$29,A10)</f>
        <v/>
      </c>
      <c r="C10" s="7">
        <f>COUNTIFS('Risk Register'!$C$2:$C$29,$A10,'Risk Register'!$G$2:$G$29,"High")</f>
        <v/>
      </c>
      <c r="D10" s="7">
        <f>COUNTIFS('Risk Register'!$C$2:$C$29,$A10,'Risk Register'!$G$2:$G$29,"Medium")</f>
        <v/>
      </c>
      <c r="E10" s="7">
        <f>COUNTIFS('Risk Register'!$C$2:$C$29,$A10,'Risk Register'!$G$2:$G$29,"Low")</f>
        <v/>
      </c>
    </row>
    <row r="11">
      <c r="A11" s="7" t="inlineStr">
        <is>
          <t>Change management</t>
        </is>
      </c>
      <c r="B11" s="7">
        <f>COUNTIF('Risk Register'!$C$2:$C$29,A11)</f>
        <v/>
      </c>
      <c r="C11" s="7">
        <f>COUNTIFS('Risk Register'!$C$2:$C$29,$A11,'Risk Register'!$G$2:$G$29,"High")</f>
        <v/>
      </c>
      <c r="D11" s="7">
        <f>COUNTIFS('Risk Register'!$C$2:$C$29,$A11,'Risk Register'!$G$2:$G$29,"Medium")</f>
        <v/>
      </c>
      <c r="E11" s="7">
        <f>COUNTIFS('Risk Register'!$C$2:$C$29,$A11,'Risk Register'!$G$2:$G$29,"Low")</f>
        <v/>
      </c>
    </row>
    <row r="12">
      <c r="A12" s="7" t="inlineStr">
        <is>
          <t>Third party</t>
        </is>
      </c>
      <c r="B12" s="7">
        <f>COUNTIF('Risk Register'!$C$2:$C$29,A12)</f>
        <v/>
      </c>
      <c r="C12" s="7">
        <f>COUNTIFS('Risk Register'!$C$2:$C$29,$A12,'Risk Register'!$G$2:$G$29,"High")</f>
        <v/>
      </c>
      <c r="D12" s="7">
        <f>COUNTIFS('Risk Register'!$C$2:$C$29,$A12,'Risk Register'!$G$2:$G$29,"Medium")</f>
        <v/>
      </c>
      <c r="E12" s="7">
        <f>COUNTIFS('Risk Register'!$C$2:$C$29,$A12,'Risk Register'!$G$2:$G$29,"Low")</f>
        <v/>
      </c>
    </row>
    <row r="13">
      <c r="A13" s="7" t="inlineStr">
        <is>
          <t>Monitoring</t>
        </is>
      </c>
      <c r="B13" s="7">
        <f>COUNTIF('Risk Register'!$C$2:$C$29,A13)</f>
        <v/>
      </c>
      <c r="C13" s="7">
        <f>COUNTIFS('Risk Register'!$C$2:$C$29,$A13,'Risk Register'!$G$2:$G$29,"High")</f>
        <v/>
      </c>
      <c r="D13" s="7">
        <f>COUNTIFS('Risk Register'!$C$2:$C$29,$A13,'Risk Register'!$G$2:$G$29,"Medium")</f>
        <v/>
      </c>
      <c r="E13" s="7">
        <f>COUNTIFS('Risk Register'!$C$2:$C$29,$A13,'Risk Register'!$G$2:$G$29,"Low")</f>
        <v/>
      </c>
    </row>
    <row r="14">
      <c r="A14" s="7" t="inlineStr">
        <is>
          <t>Governance</t>
        </is>
      </c>
      <c r="B14" s="7">
        <f>COUNTIF('Risk Register'!$C$2:$C$29,A14)</f>
        <v/>
      </c>
      <c r="C14" s="7">
        <f>COUNTIFS('Risk Register'!$C$2:$C$29,$A14,'Risk Register'!$G$2:$G$29,"High")</f>
        <v/>
      </c>
      <c r="D14" s="7">
        <f>COUNTIFS('Risk Register'!$C$2:$C$29,$A14,'Risk Register'!$G$2:$G$29,"Medium")</f>
        <v/>
      </c>
      <c r="E14" s="7">
        <f>COUNTIFS('Risk Register'!$C$2:$C$29,$A14,'Risk Register'!$G$2:$G$29,"Low")</f>
        <v/>
      </c>
    </row>
    <row r="15">
      <c r="A15" s="8" t="inlineStr">
        <is>
          <t>Total</t>
        </is>
      </c>
      <c r="B15" s="8">
        <f>SUM(B4:B14)</f>
        <v/>
      </c>
      <c r="C15" s="8">
        <f>SUM(C4:C14)</f>
        <v/>
      </c>
      <c r="D15" s="8">
        <f>SUM(D4:D14)</f>
        <v/>
      </c>
      <c r="E15" s="8">
        <f>SUM(E4:E14)</f>
        <v/>
      </c>
    </row>
    <row r="17">
      <c r="A17" s="9" t="inlineStr">
        <is>
          <t>Check: total risks equals rows on register</t>
        </is>
      </c>
      <c r="B17" s="9">
        <f>IF(B15=COUNTA('Risk Register'!$A$2:$A$29),"OK","MISMATCH")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58" customWidth="1" min="3" max="3"/>
  </cols>
  <sheetData>
    <row r="1">
      <c r="A1" s="5" t="inlineStr">
        <is>
          <t>Scoring scales and rating bands</t>
        </is>
      </c>
    </row>
    <row r="3">
      <c r="A3" s="10" t="inlineStr">
        <is>
          <t>Score</t>
        </is>
      </c>
      <c r="B3" s="10" t="inlineStr">
        <is>
          <t>Likelihood (1-5)</t>
        </is>
      </c>
      <c r="C3" s="10" t="inlineStr">
        <is>
          <t>Impact (1-5)</t>
        </is>
      </c>
    </row>
    <row r="4">
      <c r="A4" s="2" t="n">
        <v>1</v>
      </c>
      <c r="B4" s="2" t="inlineStr">
        <is>
          <t>Rare: would need unusual circumstances</t>
        </is>
      </c>
      <c r="C4" s="2" t="inlineStr">
        <is>
          <t>Negligible: cosmetic, no effect on reconciliation outcome</t>
        </is>
      </c>
    </row>
    <row r="5">
      <c r="A5" s="2" t="n">
        <v>2</v>
      </c>
      <c r="B5" s="2" t="inlineStr">
        <is>
          <t>Unlikely</t>
        </is>
      </c>
      <c r="C5" s="2" t="inlineStr">
        <is>
          <t>Minor: extra review time; result still correct</t>
        </is>
      </c>
    </row>
    <row r="6">
      <c r="A6" s="2" t="n">
        <v>3</v>
      </c>
      <c r="B6" s="2" t="inlineStr">
        <is>
          <t>Possible</t>
        </is>
      </c>
      <c r="C6" s="2" t="inlineStr">
        <is>
          <t>Moderate: some errors or misleading output; detectable on review</t>
        </is>
      </c>
    </row>
    <row r="7">
      <c r="A7" s="2" t="n">
        <v>4</v>
      </c>
      <c r="B7" s="2" t="inlineStr">
        <is>
          <t>Likely</t>
        </is>
      </c>
      <c r="C7" s="2" t="inlineStr">
        <is>
          <t>Major: material error missed or wrong output relied on</t>
        </is>
      </c>
    </row>
    <row r="8">
      <c r="A8" s="2" t="n">
        <v>5</v>
      </c>
      <c r="B8" s="2" t="inlineStr">
        <is>
          <t>Almost certain / already true</t>
        </is>
      </c>
      <c r="C8" s="2" t="inlineStr">
        <is>
          <t>Severe: misstatement, unauthorised change to ledger, or data breach</t>
        </is>
      </c>
    </row>
    <row r="10">
      <c r="A10" s="11" t="inlineStr">
        <is>
          <t>Rating bands (edit the blue cells to change bands; ratings on the Risk Register recalculate)</t>
        </is>
      </c>
    </row>
    <row r="11">
      <c r="A11" s="9" t="inlineStr">
        <is>
          <t>High if inherent score at or above</t>
        </is>
      </c>
      <c r="B11" s="12" t="n">
        <v>15</v>
      </c>
    </row>
    <row r="12">
      <c r="A12" s="9" t="inlineStr">
        <is>
          <t>Medium if inherent score at or above</t>
        </is>
      </c>
      <c r="B12" s="12" t="n">
        <v>8</v>
      </c>
    </row>
    <row r="14" ht="45" customHeight="1">
      <c r="A14" s="13" t="inlineStr">
        <is>
          <t>Assumptions: scores are the reviewer's judgement (self-assessment), inherent (before any control), and are reviewed in Phase 3 once controls are mapped. Bands are a review convention, not a standard.</t>
        </is>
      </c>
    </row>
    <row r="16" ht="45" customHeight="1">
      <c r="A16" s="13" t="inlineStr">
        <is>
          <t>Framework references: NIST AI RMF 1.0 subcategory numbers and ISO/IEC 42001 Annex A are cited at area level from the reviewer's knowledge and must be checked against the source documents before the report is issued.</t>
        </is>
      </c>
    </row>
  </sheetData>
  <mergeCells count="2">
    <mergeCell ref="A14:C14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  <col width="30" customWidth="1" min="3" max="3"/>
  </cols>
  <sheetData>
    <row r="1">
      <c r="A1" s="11" t="inlineStr">
        <is>
          <t>Risks considered and recorded as not applicable at the pinned commit (no LLM is called). Reassess if an LLM layer is added.</t>
        </is>
      </c>
    </row>
    <row r="3">
      <c r="A3" s="6" t="inlineStr">
        <is>
          <t>Risk</t>
        </is>
      </c>
      <c r="B3" s="6" t="inlineStr">
        <is>
          <t>Why not applicable</t>
        </is>
      </c>
      <c r="C3" s="6" t="inlineStr">
        <is>
          <t>Reference</t>
        </is>
      </c>
    </row>
    <row r="4">
      <c r="A4" s="2" t="inlineStr">
        <is>
          <t>Prompt injection via transaction descriptions</t>
        </is>
      </c>
      <c r="B4" s="2" t="inlineStr">
        <is>
          <t>No prompt is built and no model reads ledger text. (Free-text fields are only compared or displayed.)</t>
        </is>
      </c>
      <c r="C4" s="2" t="inlineStr">
        <is>
          <t>OWASP LLM01</t>
        </is>
      </c>
    </row>
    <row r="5">
      <c r="A5" s="2" t="inlineStr">
        <is>
          <t>Hallucinated or unsupported explanations</t>
        </is>
      </c>
      <c r="B5" s="2" t="inlineStr">
        <is>
          <t>Variance text is generated by string templates over SQL results.</t>
        </is>
      </c>
      <c r="C5" s="2" t="inlineStr">
        <is>
          <t>OWASP LLM09; NIST MEASURE 2.5</t>
        </is>
      </c>
    </row>
    <row r="6">
      <c r="A6" s="2" t="inlineStr">
        <is>
          <t>Non-deterministic output between runs</t>
        </is>
      </c>
      <c r="B6" s="2" t="inlineStr">
        <is>
          <t>Rules are deterministic; replaced by a determinism test in Phase 4 (see ToR).</t>
        </is>
      </c>
      <c r="C6" s="2" t="inlineStr">
        <is>
          <t>NIST MEASURE 2.5</t>
        </is>
      </c>
    </row>
    <row r="7">
      <c r="A7" s="2" t="inlineStr">
        <is>
          <t>Personal data sent to an LLM provider; retention and training terms</t>
        </is>
      </c>
      <c r="B7" s="2" t="inlineStr">
        <is>
          <t>No LLM provider receives data. Data still leaves to Xero/Intuit (in scope) and public GitHub/Streamlit (R19).</t>
        </is>
      </c>
      <c r="C7" s="2" t="inlineStr">
        <is>
          <t>OWASP LLM02; NIST MEASURE 2.10</t>
        </is>
      </c>
    </row>
    <row r="8">
      <c r="A8" s="2" t="inlineStr">
        <is>
          <t>Silent model version change by provider</t>
        </is>
      </c>
      <c r="B8" s="2" t="inlineStr">
        <is>
          <t>No model. Dependency drift is covered by R11.</t>
        </is>
      </c>
      <c r="C8" s="2" t="inlineStr">
        <is>
          <t>NIST MANAGE 2.3</t>
        </is>
      </c>
    </row>
    <row r="9">
      <c r="A9" s="2" t="inlineStr">
        <is>
          <t>Model and prompt inventory</t>
        </is>
      </c>
      <c r="B9" s="2" t="inlineStr">
        <is>
          <t>Nothing to inventory beyond the code and dependencies.</t>
        </is>
      </c>
      <c r="C9" s="2" t="inlineStr">
        <is>
          <t>NIST GOVERN 1.6; ISO 42001 A.6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2026-09-23T17:18:27Z</dcterms:created>
  <dcterms:modified xmlns:dcterms="http://purl.org/dc/terms/" xmlns:xsi="http://www.w3.org/2001/XMLSchema-instance" xsi:type="dcterms:W3CDTF">2026-09-23T18:58:27Z</dcterms:modified>
</cp:coreProperties>
</file>