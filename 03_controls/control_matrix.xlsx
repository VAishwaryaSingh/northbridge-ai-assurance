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ol Matrix" sheetId="2" state="visible" r:id="rId2"/>
    <sheet xmlns:r="http://schemas.openxmlformats.org/officeDocument/2006/relationships" name="Risk Coverage" sheetId="3" state="visible" r:id="rId3"/>
  </sheets>
  <definedNames>
    <definedName name="_xlnm._FilterDatabase" localSheetId="1" hidden="1">'Control Matrix'!$A$1:$K$30</definedName>
    <definedName name="_xlnm._FilterDatabase" localSheetId="2" hidden="1">'Risk Coverage'!$A$4:$H$32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bgColor rgb="00F4B6B6"/>
        </patternFill>
      </fill>
    </dxf>
    <dxf>
      <fill>
        <patternFill patternType="solid">
          <bgColor rgb="00FFE699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Control assessment summary (Phase 3, design only)</t>
        </is>
      </c>
    </row>
    <row r="3">
      <c r="A3" s="2" t="inlineStr">
        <is>
          <t>Controls identified</t>
        </is>
      </c>
      <c r="B3" s="2">
        <f>COUNTA('Control Matrix'!$A$2:$A$30)</f>
        <v/>
      </c>
    </row>
    <row r="4">
      <c r="A4" s="2" t="inlineStr">
        <is>
          <t>In place (Y)</t>
        </is>
      </c>
      <c r="B4" s="2">
        <f>COUNTIF('Control Matrix'!$F$2:$F$30,"Y")</f>
        <v/>
      </c>
    </row>
    <row r="5">
      <c r="A5" s="2" t="inlineStr">
        <is>
          <t>Partial</t>
        </is>
      </c>
      <c r="B5" s="2">
        <f>COUNTIF('Control Matrix'!$F$2:$F$30,"Partial")</f>
        <v/>
      </c>
    </row>
    <row r="6">
      <c r="A6" s="2" t="inlineStr">
        <is>
          <t>Not in place (N)</t>
        </is>
      </c>
      <c r="B6" s="2">
        <f>COUNTIF('Control Matrix'!$F$2:$F$30,"N")</f>
        <v/>
      </c>
    </row>
    <row r="7">
      <c r="A7" s="2" t="inlineStr">
        <is>
          <t>Risks total</t>
        </is>
      </c>
      <c r="B7" s="2">
        <f>COUNTA('Risk Coverage'!$A$5:$A$32)</f>
        <v/>
      </c>
    </row>
    <row r="8">
      <c r="A8" s="2" t="inlineStr">
        <is>
          <t>High risks</t>
        </is>
      </c>
      <c r="B8" s="2">
        <f>COUNTIF('Risk Coverage'!$C$5:$C$32,"High")</f>
        <v/>
      </c>
    </row>
    <row r="9">
      <c r="A9" s="2" t="inlineStr">
        <is>
          <t>High risks with status GAP</t>
        </is>
      </c>
      <c r="B9" s="2">
        <f>COUNTIFS('Risk Coverage'!$C$5:$C$32,"High",'Risk Coverage'!$H$5:$H$32,"GAP*")</f>
        <v/>
      </c>
    </row>
    <row r="10">
      <c r="A10" s="2" t="inlineStr">
        <is>
          <t>High risks Partly covered or Covered</t>
        </is>
      </c>
      <c r="B10" s="2">
        <f>COUNTIFS('Risk Coverage'!$C$5:$C$32,"High",'Risk Coverage'!$H$5:$H$32,"&lt;&gt;GAP*")</f>
        <v/>
      </c>
    </row>
    <row r="11">
      <c r="A11" s="2" t="inlineStr">
        <is>
          <t>All risks with status GAP</t>
        </is>
      </c>
      <c r="B11" s="2">
        <f>COUNTIF('Risk Coverage'!$H$5:$H$32,"GAP*")</f>
        <v/>
      </c>
    </row>
    <row r="12">
      <c r="A12" s="2" t="inlineStr">
        <is>
          <t>Risks with no control identified</t>
        </is>
      </c>
      <c r="B12" s="2">
        <f>COUNTIF('Risk Coverage'!$H$5:$H$32,"GAP: no control identified")</f>
        <v/>
      </c>
    </row>
    <row r="14">
      <c r="A14" s="3" t="inlineStr">
        <is>
          <t>Completion test (Phase 3): every High risk is linked to a control or marked GAP.</t>
        </is>
      </c>
      <c r="B14" s="3">
        <f>IF(COUNTIFS('Risk Coverage'!$C$5:$C$32,"High",'Risk Coverage'!$D$5:$D$32,0,'Risk Coverage'!$H$5:$H$32,"&lt;&gt;GAP*")=0,"OK","CHECK")</f>
        <v/>
      </c>
    </row>
    <row r="16" ht="90" customHeight="1">
      <c r="A16" s="4" t="inlineStr">
        <is>
          <t>Method: controls in place were identified from the code and documents at the pinned commit. Controls not in place are recorded as gaps and were NOT added before testing; they become findings in Phase 5 and are retested after remediation. Design results are the reviewer's assessment; operating effectiveness is tested in Phase 4. C17 (the independent test set) is a review procedure, not a management control, until adopted by the owner.</t>
        </is>
      </c>
    </row>
    <row r="18" ht="75" customHeight="1">
      <c r="A18" s="4" t="inlineStr">
        <is>
          <t>Phase 4 update (23 Sep 2026): the Operating result column records tests of operating effectiveness performed from the pinned code and committed data (evidence log E-01 to E-05). 'Not in place (confirmed)' means the absence was checked, not assumed. C12 could not be tested; C29 awaits the challenge review.</t>
        </is>
      </c>
    </row>
  </sheetData>
  <mergeCells count="2">
    <mergeCell ref="A18:B18"/>
    <mergeCell ref="A16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48" customWidth="1" min="3" max="3"/>
    <col width="13" customWidth="1" min="4" max="4"/>
    <col width="12" customWidth="1" min="5" max="5"/>
    <col width="12" customWidth="1" min="6" max="6"/>
    <col width="44" customWidth="1" min="7" max="7"/>
    <col width="46" customWidth="1" min="8" max="8"/>
    <col width="32" customWidth="1" min="9" max="9"/>
    <col width="20" customWidth="1" min="10" max="10"/>
    <col width="46" customWidth="1" min="11" max="11"/>
  </cols>
  <sheetData>
    <row r="1" ht="42" customHeight="1">
      <c r="A1" s="5" t="inlineStr">
        <is>
          <t>Control ID</t>
        </is>
      </c>
      <c r="B1" s="5" t="inlineStr">
        <is>
          <t>Risk(s) addressed</t>
        </is>
      </c>
      <c r="C1" s="5" t="inlineStr">
        <is>
          <t>Description</t>
        </is>
      </c>
      <c r="D1" s="5" t="inlineStr">
        <is>
          <t>Preventive / detective</t>
        </is>
      </c>
      <c r="E1" s="5" t="inlineStr">
        <is>
          <t>Manual / automated</t>
        </is>
      </c>
      <c r="F1" s="5" t="inlineStr">
        <is>
          <t>In place? (Y/N/Partial)</t>
        </is>
      </c>
      <c r="G1" s="5" t="inlineStr">
        <is>
          <t>Test of design</t>
        </is>
      </c>
      <c r="H1" s="5" t="inlineStr">
        <is>
          <t>Test of operating effectiveness (planned)</t>
        </is>
      </c>
      <c r="I1" s="5" t="inlineStr">
        <is>
          <t>Evidence ref</t>
        </is>
      </c>
      <c r="J1" s="5" t="inlineStr">
        <is>
          <t>Design result (Phase 3)</t>
        </is>
      </c>
      <c r="K1" s="5" t="inlineStr">
        <is>
          <t>Operating result (Phase 4)</t>
        </is>
      </c>
    </row>
    <row r="2">
      <c r="A2" s="6" t="inlineStr">
        <is>
          <t>C01</t>
        </is>
      </c>
      <c r="B2" s="7" t="inlineStr">
        <is>
          <t>None (Xero side; no separate register risk)</t>
        </is>
      </c>
      <c r="C2" s="7" t="inlineStr">
        <is>
          <t>Xero connector requests only read scopes (granular *.read)</t>
        </is>
      </c>
      <c r="D2" s="6" t="inlineStr">
        <is>
          <t>Preventive</t>
        </is>
      </c>
      <c r="E2" s="6" t="inlineStr">
        <is>
          <t>Automated</t>
        </is>
      </c>
      <c r="F2" s="6" t="inlineStr">
        <is>
          <t>Y</t>
        </is>
      </c>
      <c r="G2" s="7" t="inlineStr">
        <is>
          <t>Inspect SCOPE constant and OAuth POSTs: confirm no write scopes and no write calls.</t>
        </is>
      </c>
      <c r="H2" s="7" t="inlineStr">
        <is>
          <t>Confirm granted scopes in the Xero developer portal/app connection and grep all requests calls for non-GET (other than token POST).</t>
        </is>
      </c>
      <c r="I2" s="7" t="inlineStr">
        <is>
          <t>xero_connector.py:18-28, 75, 91; Evidence log E-04</t>
        </is>
      </c>
      <c r="J2" s="7" t="inlineStr">
        <is>
          <t>Adequate</t>
        </is>
      </c>
      <c r="K2" s="7" t="inlineStr">
        <is>
          <t>Effective (code and requested scope); portal grant not verified</t>
        </is>
      </c>
    </row>
    <row r="3">
      <c r="A3" s="6" t="inlineStr">
        <is>
          <t>C02</t>
        </is>
      </c>
      <c r="B3" s="7" t="inlineStr">
        <is>
          <t>R16</t>
        </is>
      </c>
      <c r="C3" s="7" t="inlineStr">
        <is>
          <t>QuickBooks connector code issues only GET queries and token POSTs</t>
        </is>
      </c>
      <c r="D3" s="6" t="inlineStr">
        <is>
          <t>Preventive</t>
        </is>
      </c>
      <c r="E3" s="6" t="inlineStr">
        <is>
          <t>Automated</t>
        </is>
      </c>
      <c r="F3" s="6" t="inlineStr">
        <is>
          <t>Partial</t>
        </is>
      </c>
      <c r="G3" s="7" t="inlineStr">
        <is>
          <t>Inspect code: confirm no write calls. Design limitation: control depends on code, not on the permission granted.</t>
        </is>
      </c>
      <c r="H3" s="7" t="inlineStr">
        <is>
          <t>Grep all requests calls; confirm no POST except token endpoints. Compare requested scope with the minimum needed.</t>
        </is>
      </c>
      <c r="I3" s="7" t="inlineStr">
        <is>
          <t>quickbooks_connector.py:24, 73, 90, 110, 132; Evidence log E-04</t>
        </is>
      </c>
      <c r="J3" s="7" t="inlineStr">
        <is>
          <t>Partly adequate</t>
        </is>
      </c>
      <c r="K3" s="7" t="inlineStr">
        <is>
          <t>Operates as described; design limit remains (scope is read/write)</t>
        </is>
      </c>
    </row>
    <row r="4">
      <c r="A4" s="6" t="inlineStr">
        <is>
          <t>C03</t>
        </is>
      </c>
      <c r="B4" s="7" t="inlineStr">
        <is>
          <t>R16</t>
        </is>
      </c>
      <c r="C4" s="7" t="inlineStr">
        <is>
          <t>QuickBooks scope restricted to the minimum (read-only) so the platform enforces read-only</t>
        </is>
      </c>
      <c r="D4" s="6" t="inlineStr">
        <is>
          <t>Preventive</t>
        </is>
      </c>
      <c r="E4" s="6" t="inlineStr">
        <is>
          <t>Automated</t>
        </is>
      </c>
      <c r="F4" s="6" t="inlineStr">
        <is>
          <t>N</t>
        </is>
      </c>
      <c r="G4" s="7" t="inlineStr">
        <is>
          <t>Would be adequate if scope were read-only. Intuit's accounting scope grants read/write.</t>
        </is>
      </c>
      <c r="H4" s="7" t="inlineStr">
        <is>
          <t>Not in place. Retest after remediation.</t>
        </is>
      </c>
      <c r="I4" s="7" t="inlineStr">
        <is>
          <t>quickbooks_connector.py:24; Evidence log E-04</t>
        </is>
      </c>
      <c r="J4" s="7" t="inlineStr">
        <is>
          <t>Not in place</t>
        </is>
      </c>
      <c r="K4" s="7" t="inlineStr">
        <is>
          <t>Not in place (confirmed)</t>
        </is>
      </c>
    </row>
    <row r="5">
      <c r="A5" s="6" t="inlineStr">
        <is>
          <t>C04</t>
        </is>
      </c>
      <c r="B5" s="7" t="inlineStr">
        <is>
          <t>R18</t>
        </is>
      </c>
      <c r="C5" s="7" t="inlineStr">
        <is>
          <t>Secrets held in a git-ignored .env; .env.example committed with blanks only</t>
        </is>
      </c>
      <c r="D5" s="6" t="inlineStr">
        <is>
          <t>Preventive</t>
        </is>
      </c>
      <c r="E5" s="6" t="inlineStr">
        <is>
          <t>Manual</t>
        </is>
      </c>
      <c r="F5" s="6" t="inlineStr">
        <is>
          <t>Y</t>
        </is>
      </c>
      <c r="G5" s="7" t="inlineStr">
        <is>
          <t>Inspect .gitignore and .env.example; confirm no values.</t>
        </is>
      </c>
      <c r="H5" s="7" t="inlineStr">
        <is>
          <t>git log --all -- .env (expect empty); inspect committed files for credential patterns.</t>
        </is>
      </c>
      <c r="I5" s="7" t="inlineStr">
        <is>
          <t>Northbridge .gitignore; .env.example; Evidence log E-04</t>
        </is>
      </c>
      <c r="J5" s="7" t="inlineStr">
        <is>
          <t>Adequate (single layer)</t>
        </is>
      </c>
      <c r="K5" s="7" t="inlineStr">
        <is>
          <t>Effective</t>
        </is>
      </c>
    </row>
    <row r="6">
      <c r="A6" s="6" t="inlineStr">
        <is>
          <t>C05</t>
        </is>
      </c>
      <c r="B6" s="7" t="inlineStr">
        <is>
          <t>R17</t>
        </is>
      </c>
      <c r="C6" s="7" t="inlineStr">
        <is>
          <t>Refresh tokens stored in a secrets manager or encrypted, not plaintext</t>
        </is>
      </c>
      <c r="D6" s="6" t="inlineStr">
        <is>
          <t>Preventive</t>
        </is>
      </c>
      <c r="E6" s="6" t="inlineStr">
        <is>
          <t>Automated</t>
        </is>
      </c>
      <c r="F6" s="6" t="inlineStr">
        <is>
          <t>N</t>
        </is>
      </c>
      <c r="G6" s="7" t="inlineStr">
        <is>
          <t>Not in place: save_tokens writes plaintext to .env.</t>
        </is>
      </c>
      <c r="H6" s="7" t="inlineStr">
        <is>
          <t>Not in place. Retest after remediation.</t>
        </is>
      </c>
      <c r="I6" s="7" t="inlineStr">
        <is>
          <t>xero_connector.py:190-193; Evidence log E-04</t>
        </is>
      </c>
      <c r="J6" s="7" t="inlineStr">
        <is>
          <t>Not in place</t>
        </is>
      </c>
      <c r="K6" s="7" t="inlineStr">
        <is>
          <t>Not in place (confirmed: plaintext via set_key)</t>
        </is>
      </c>
    </row>
    <row r="7">
      <c r="A7" s="6" t="inlineStr">
        <is>
          <t>C06</t>
        </is>
      </c>
      <c r="B7" s="7" t="inlineStr">
        <is>
          <t>R18</t>
        </is>
      </c>
      <c r="C7" s="7" t="inlineStr">
        <is>
          <t>Repeatable secrets scan before publishing to the public repo</t>
        </is>
      </c>
      <c r="D7" s="6" t="inlineStr">
        <is>
          <t>Detective</t>
        </is>
      </c>
      <c r="E7" s="6" t="inlineStr">
        <is>
          <t>Manual</t>
        </is>
      </c>
      <c r="F7" s="6" t="inlineStr">
        <is>
          <t>Partial</t>
        </is>
      </c>
      <c r="G7" s="7" t="inlineStr">
        <is>
          <t>Build notes report a scan (Session 6); not automated or repeated.</t>
        </is>
      </c>
      <c r="H7" s="7" t="inlineStr">
        <is>
          <t>Run a secrets scanner over the full git history at the pinned commit; record output.</t>
        </is>
      </c>
      <c r="I7" s="7" t="inlineStr">
        <is>
          <t>northbridge-ledger-agent-plan.md (Session 6); Evidence log E-04, E-06</t>
        </is>
      </c>
      <c r="J7" s="7" t="inlineStr">
        <is>
          <t>Partly adequate</t>
        </is>
      </c>
      <c r="K7" s="7" t="inlineStr">
        <is>
          <t>No matches for credential patterns in code files across all history (regex search; md, csv, db excluded; no scanner run); one-off by reviewer, not repeatable by owner</t>
        </is>
      </c>
    </row>
    <row r="8">
      <c r="A8" s="6" t="inlineStr">
        <is>
          <t>C07</t>
        </is>
      </c>
      <c r="B8" s="7" t="inlineStr">
        <is>
          <t>R19</t>
        </is>
      </c>
      <c r="C8" s="7" t="inlineStr">
        <is>
          <t>Project restricted to fictional and vendor sandbox data; data labelled synthetic where shown</t>
        </is>
      </c>
      <c r="D8" s="6" t="inlineStr">
        <is>
          <t>Preventive</t>
        </is>
      </c>
      <c r="E8" s="6" t="inlineStr">
        <is>
          <t>Manual</t>
        </is>
      </c>
      <c r="F8" s="6" t="inlineStr">
        <is>
          <t>Y</t>
        </is>
      </c>
      <c r="G8" s="7" t="inlineStr">
        <is>
          <t>Inspect README scope statement and dashboard banner.</t>
        </is>
      </c>
      <c r="H8" s="7" t="inlineStr">
        <is>
          <t>Confirm the committed databases contain no real client data (sample review of contacts); confirm synthetic banner displays.</t>
        </is>
      </c>
      <c r="I8" s="7" t="inlineStr">
        <is>
          <t>README.md:7, 122; app.py:132-138; Evidence log E-04, E-06</t>
        </is>
      </c>
      <c r="J8" s="7" t="inlineStr">
        <is>
          <t>Adequate</t>
        </is>
      </c>
      <c r="K8" s="7" t="inlineStr">
        <is>
          <t>Partly evidenced: sampled first 12 contact names per database only; committed names appear fictional, seeded or Intuit sandbox (QuickBooks demo has address-like names); real brand names in Xero demo; personal data not ruled out</t>
        </is>
      </c>
    </row>
    <row r="9">
      <c r="A9" s="6" t="inlineStr">
        <is>
          <t>C08</t>
        </is>
      </c>
      <c r="B9" s="7" t="inlineStr">
        <is>
          <t>R19</t>
        </is>
      </c>
      <c r="C9" s="7" t="inlineStr">
        <is>
          <t>Data-protection assessment and data handling rules before any real data is used</t>
        </is>
      </c>
      <c r="D9" s="6" t="inlineStr">
        <is>
          <t>Preventive</t>
        </is>
      </c>
      <c r="E9" s="6" t="inlineStr">
        <is>
          <t>Manual</t>
        </is>
      </c>
      <c r="F9" s="6" t="inlineStr">
        <is>
          <t>N</t>
        </is>
      </c>
      <c r="G9" s="7" t="inlineStr">
        <is>
          <t>No documented procedure. Policy is a rule in the build plan only.</t>
        </is>
      </c>
      <c r="H9" s="7" t="inlineStr">
        <is>
          <t>Not in place.</t>
        </is>
      </c>
      <c r="I9" s="7" t="inlineStr">
        <is>
          <t>northbridge-ledger-agent-plan.md; Evidence log E-04</t>
        </is>
      </c>
      <c r="J9" s="7" t="inlineStr">
        <is>
          <t>Not in place</t>
        </is>
      </c>
      <c r="K9" s="7" t="inlineStr">
        <is>
          <t>Not in place (confirmed)</t>
        </is>
      </c>
    </row>
    <row r="10">
      <c r="A10" s="6" t="inlineStr">
        <is>
          <t>C09</t>
        </is>
      </c>
      <c r="B10" s="7" t="inlineStr">
        <is>
          <t>R03; R15; R25; R28</t>
        </is>
      </c>
      <c r="C10" s="7" t="inlineStr">
        <is>
          <t>README and dashboard disclose limitations (independent project, synthetic scale test not an accuracy claim, fictional data)</t>
        </is>
      </c>
      <c r="D10" s="6" t="inlineStr">
        <is>
          <t>Preventive</t>
        </is>
      </c>
      <c r="E10" s="6" t="inlineStr">
        <is>
          <t>Manual</t>
        </is>
      </c>
      <c r="F10" s="6" t="inlineStr">
        <is>
          <t>Partial</t>
        </is>
      </c>
      <c r="G10" s="7" t="inlineStr">
        <is>
          <t>Inspect wording for what it states and what it omits (intended use, known limits on real books, owner).</t>
        </is>
      </c>
      <c r="H10" s="7" t="inlineStr">
        <is>
          <t>Compare disclosures with measured results; confirm the caption on the public dashboard matches the README.</t>
        </is>
      </c>
      <c r="I10" s="7" t="inlineStr">
        <is>
          <t>README.md:96-101, 122; app.py:132-138; Evidence log E-04</t>
        </is>
      </c>
      <c r="J10" s="7" t="inlineStr">
        <is>
          <t>Partly adequate</t>
        </is>
      </c>
      <c r="K10" s="7" t="inlineStr">
        <is>
          <t>Partly effective: omits intended use, limits on real books, false negatives, production status</t>
        </is>
      </c>
    </row>
    <row r="11">
      <c r="A11" s="6" t="inlineStr">
        <is>
          <t>C10</t>
        </is>
      </c>
      <c r="B11" s="7" t="inlineStr">
        <is>
          <t>R25</t>
        </is>
      </c>
      <c r="C11" s="7" t="inlineStr">
        <is>
          <t>Documented owner, intended use, users of output, known limitations and escalation route</t>
        </is>
      </c>
      <c r="D11" s="6" t="inlineStr">
        <is>
          <t>Preventive</t>
        </is>
      </c>
      <c r="E11" s="6" t="inlineStr">
        <is>
          <t>Manual</t>
        </is>
      </c>
      <c r="F11" s="6" t="inlineStr">
        <is>
          <t>N</t>
        </is>
      </c>
      <c r="G11" s="7" t="inlineStr">
        <is>
          <t>Owner is implicit (sole developer); no intended-use statement.</t>
        </is>
      </c>
      <c r="H11" s="7" t="inlineStr">
        <is>
          <t>Not in place.</t>
        </is>
      </c>
      <c r="I11" s="7" t="inlineStr">
        <is>
          <t>Evidence log E-04</t>
        </is>
      </c>
      <c r="J11" s="7" t="inlineStr">
        <is>
          <t>Not in place</t>
        </is>
      </c>
      <c r="K11" s="7" t="inlineStr">
        <is>
          <t>Not in place (confirmed)</t>
        </is>
      </c>
    </row>
    <row r="12">
      <c r="A12" s="6" t="inlineStr">
        <is>
          <t>C11</t>
        </is>
      </c>
      <c r="B12" s="7" t="inlineStr">
        <is>
          <t>R12; R13</t>
        </is>
      </c>
      <c r="C12" s="7" t="inlineStr">
        <is>
          <t>Data coverage table shows rows loaded per table and data-quality counts (unlinked payments, no-contact lines, voided invoices)</t>
        </is>
      </c>
      <c r="D12" s="6" t="inlineStr">
        <is>
          <t>Detective</t>
        </is>
      </c>
      <c r="E12" s="6" t="inlineStr">
        <is>
          <t>Automated</t>
        </is>
      </c>
      <c r="F12" s="6" t="inlineStr">
        <is>
          <t>Partial</t>
        </is>
      </c>
      <c r="G12" s="7" t="inlineStr">
        <is>
          <t>Inspect compute_data_stats: shows counts but has no thresholds and no comparison to source totals.</t>
        </is>
      </c>
      <c r="H12" s="7" t="inlineStr">
        <is>
          <t>Re-perform the counts from the database for each dataset; compare with dashboard values.</t>
        </is>
      </c>
      <c r="I12" s="7" t="inlineStr">
        <is>
          <t>src/reconciliation/stats.py; app.py:48-68; Evidence log E-04, E-06</t>
        </is>
      </c>
      <c r="J12" s="7" t="inlineStr">
        <is>
          <t>Partly adequate</t>
        </is>
      </c>
      <c r="K12" s="7" t="inlineStr">
        <is>
          <t>Operates: dashboard counts equal recount on the same database (arithmetic consistency); not evidence of pull completeness against source totals; no thresholds</t>
        </is>
      </c>
    </row>
    <row r="13">
      <c r="A13" s="6" t="inlineStr">
        <is>
          <t>C12</t>
        </is>
      </c>
      <c r="B13" s="7" t="inlineStr">
        <is>
          <t>R13</t>
        </is>
      </c>
      <c r="C13" s="7" t="inlineStr">
        <is>
          <t>Connectors page through all results (Xero and QuickBooks) instead of a fixed first page</t>
        </is>
      </c>
      <c r="D13" s="6" t="inlineStr">
        <is>
          <t>Preventive</t>
        </is>
      </c>
      <c r="E13" s="6" t="inlineStr">
        <is>
          <t>Automated</t>
        </is>
      </c>
      <c r="F13" s="6" t="inlineStr">
        <is>
          <t>Partial</t>
        </is>
      </c>
      <c r="G13" s="7" t="inlineStr">
        <is>
          <t>Inspect paging loops; tested by mocks only.</t>
        </is>
      </c>
      <c r="H13" s="7" t="inlineStr">
        <is>
          <t>Re-run pulls against live sandboxes and compare row counts with the source system totals (if credentials are available; Xero trial may have lapsed).</t>
        </is>
      </c>
      <c r="I13" s="7" t="inlineStr">
        <is>
          <t>xero_connector.py:~130-150; quickbooks_connector.py:110-125; Evidence log E-04</t>
        </is>
      </c>
      <c r="J13" s="7" t="inlineStr">
        <is>
          <t>Partly adequate</t>
        </is>
      </c>
      <c r="K13" s="7" t="inlineStr">
        <is>
          <t>Not tested (live credentials and Xero trial unavailable; mocks only)</t>
        </is>
      </c>
    </row>
    <row r="14">
      <c r="A14" s="6" t="inlineStr">
        <is>
          <t>C13</t>
        </is>
      </c>
      <c r="B14" s="7" t="inlineStr">
        <is>
          <t>R12; R13</t>
        </is>
      </c>
      <c r="C14" s="7" t="inlineStr">
        <is>
          <t>Completeness and validity check on loaded data (counts reconciled to source, malformed rows rejected or reported)</t>
        </is>
      </c>
      <c r="D14" s="6" t="inlineStr">
        <is>
          <t>Preventive</t>
        </is>
      </c>
      <c r="E14" s="6" t="inlineStr">
        <is>
          <t>Automated</t>
        </is>
      </c>
      <c r="F14" s="6" t="inlineStr">
        <is>
          <t>N</t>
        </is>
      </c>
      <c r="G14" s="7" t="inlineStr">
        <is>
          <t>No validation gate found.</t>
        </is>
      </c>
      <c r="H14" s="7" t="inlineStr">
        <is>
          <t>Not in place.</t>
        </is>
      </c>
      <c r="I14" s="7" t="inlineStr">
        <is>
          <t>Evidence log E-04</t>
        </is>
      </c>
      <c r="J14" s="7" t="inlineStr">
        <is>
          <t>Not in place</t>
        </is>
      </c>
      <c r="K14" s="7" t="inlineStr">
        <is>
          <t>Not in place (confirmed)</t>
        </is>
      </c>
    </row>
    <row r="15">
      <c r="A15" s="6" t="inlineStr">
        <is>
          <t>C14</t>
        </is>
      </c>
      <c r="B15" s="7" t="inlineStr">
        <is>
          <t>R11</t>
        </is>
      </c>
      <c r="C15" s="7" t="inlineStr">
        <is>
          <t>Fixed random seeds (IsolationForest random_state=0; synthetic seed 42)</t>
        </is>
      </c>
      <c r="D15" s="6" t="inlineStr">
        <is>
          <t>Preventive</t>
        </is>
      </c>
      <c r="E15" s="6" t="inlineStr">
        <is>
          <t>Automated</t>
        </is>
      </c>
      <c r="F15" s="6" t="inlineStr">
        <is>
          <t>Partial</t>
        </is>
      </c>
      <c r="G15" s="7" t="inlineStr">
        <is>
          <t>Inspect seeds in code.</t>
        </is>
      </c>
      <c r="H15" s="7" t="inlineStr">
        <is>
          <t>Run each path twice on the same data and compare outputs byte for byte (determinism test).</t>
        </is>
      </c>
      <c r="I15" s="7" t="inlineStr">
        <is>
          <t>statistical.py:80; seed_synthetic.py:SEED; Evidence log E-03, E-06; results/order_sensitivity.txt</t>
        </is>
      </c>
      <c r="J15" s="7" t="inlineStr">
        <is>
          <t>Partly adequate (dependencies unpinned)</t>
        </is>
      </c>
      <c r="K15" s="7" t="inlineStr">
        <is>
          <t>Fixed seeds work, but output is NOT deterministic across database row order (matcher order dependence, 6 of 7 orderings differ); identical only for a fixed input order</t>
        </is>
      </c>
    </row>
    <row r="16">
      <c r="A16" s="6" t="inlineStr">
        <is>
          <t>C15</t>
        </is>
      </c>
      <c r="B16" s="7" t="inlineStr">
        <is>
          <t>R11; R23</t>
        </is>
      </c>
      <c r="C16" s="7" t="inlineStr">
        <is>
          <t>Dependencies pinned to exact versions with a lockfile</t>
        </is>
      </c>
      <c r="D16" s="6" t="inlineStr">
        <is>
          <t>Preventive</t>
        </is>
      </c>
      <c r="E16" s="6" t="inlineStr">
        <is>
          <t>Automated</t>
        </is>
      </c>
      <c r="F16" s="6" t="inlineStr">
        <is>
          <t>N</t>
        </is>
      </c>
      <c r="G16" s="7" t="inlineStr">
        <is>
          <t>requirements.txt unpinned; no lockfile.</t>
        </is>
      </c>
      <c r="H16" s="7" t="inlineStr">
        <is>
          <t>Not in place.</t>
        </is>
      </c>
      <c r="I16" s="7" t="inlineStr">
        <is>
          <t>requirements.txt; Evidence log E-04</t>
        </is>
      </c>
      <c r="J16" s="7" t="inlineStr">
        <is>
          <t>Not in place</t>
        </is>
      </c>
      <c r="K16" s="7" t="inlineStr">
        <is>
          <t>Not in place (confirmed: no pins, no lockfile)</t>
        </is>
      </c>
    </row>
    <row r="17">
      <c r="A17" s="6" t="inlineStr">
        <is>
          <t>C16</t>
        </is>
      </c>
      <c r="B17" s="7" t="inlineStr">
        <is>
          <t>R01; R02; R03</t>
        </is>
      </c>
      <c r="C17" s="7" t="inlineStr">
        <is>
          <t>Scoring functions compare detections with an answer key or planted-record list</t>
        </is>
      </c>
      <c r="D17" s="6" t="inlineStr">
        <is>
          <t>Detective</t>
        </is>
      </c>
      <c r="E17" s="6" t="inlineStr">
        <is>
          <t>Automated</t>
        </is>
      </c>
      <c r="F17" s="6" t="inlineStr">
        <is>
          <t>Partial</t>
        </is>
      </c>
      <c r="G17" s="7" t="inlineStr">
        <is>
          <t>Circular: planted patterns written to fit the rules, so it demonstrates mechanics, not accuracy.</t>
        </is>
      </c>
      <c r="H17" s="7" t="inlineStr">
        <is>
          <t>Re-perform the score calculation; confirm figures in README and dashboard trace to it.</t>
        </is>
      </c>
      <c r="I17" s="7" t="inlineStr">
        <is>
          <t>statistical.py:115-172; README.md:96-101; Evidence log E-04</t>
        </is>
      </c>
      <c r="J17" s="7" t="inlineStr">
        <is>
          <t>Partly adequate</t>
        </is>
      </c>
      <c r="K17" s="7" t="inlineStr">
        <is>
          <t>Operates (published figures reproduce exactly); low assurance value (circular)</t>
        </is>
      </c>
    </row>
    <row r="18">
      <c r="A18" s="6" t="inlineStr">
        <is>
          <t>C17</t>
        </is>
      </c>
      <c r="B18" s="7" t="inlineStr">
        <is>
          <t>R01; R02; R03; R04; R05; R07; R09</t>
        </is>
      </c>
      <c r="C18" s="7" t="inlineStr">
        <is>
          <t>Independent test set not written to fit the rules, with clean items and hard cases, and ground-truth labels</t>
        </is>
      </c>
      <c r="D18" s="6" t="inlineStr">
        <is>
          <t>Detective</t>
        </is>
      </c>
      <c r="E18" s="6" t="inlineStr">
        <is>
          <t>Manual</t>
        </is>
      </c>
      <c r="F18" s="6" t="inlineStr">
        <is>
          <t>N</t>
        </is>
      </c>
      <c r="G18" s="7" t="inlineStr">
        <is>
          <t>Not in place in the system. To be created as a review procedure in Phase 4.</t>
        </is>
      </c>
      <c r="H18" s="7" t="inlineStr">
        <is>
          <t>Phase 4 harness. Not a management control until adopted by the owner.</t>
        </is>
      </c>
      <c r="I18" s="7" t="inlineStr">
        <is>
          <t>04_testing (planned); Evidence log E-01, E-02, E-06</t>
        </is>
      </c>
      <c r="J18" s="7" t="inlineStr">
        <is>
          <t>Not in place</t>
        </is>
      </c>
      <c r="K18" s="7" t="inlineStr">
        <is>
          <t>Performed by this review: 7 of 8 ToR criteria not met on a constructed mix (see criteria_assessment_full.csv); results are not estimates for real books</t>
        </is>
      </c>
    </row>
    <row r="19">
      <c r="A19" s="6" t="inlineStr">
        <is>
          <t>C18</t>
        </is>
      </c>
      <c r="B19" s="7" t="inlineStr">
        <is>
          <t>R06; R09</t>
        </is>
      </c>
      <c r="C19" s="7" t="inlineStr">
        <is>
          <t>Thresholds, tolerances and windows documented with rationale and approved; configurable</t>
        </is>
      </c>
      <c r="D19" s="6" t="inlineStr">
        <is>
          <t>Preventive</t>
        </is>
      </c>
      <c r="E19" s="6" t="inlineStr">
        <is>
          <t>Manual</t>
        </is>
      </c>
      <c r="F19" s="6" t="inlineStr">
        <is>
          <t>N</t>
        </is>
      </c>
      <c r="G19" s="7" t="inlineStr">
        <is>
          <t>Values are constants in code with no approval record.</t>
        </is>
      </c>
      <c r="H19" s="7" t="inlineStr">
        <is>
          <t>Not in place.</t>
        </is>
      </c>
      <c r="I19" s="7" t="inlineStr">
        <is>
          <t>matcher.py:17-20; rules.py:119; Evidence log E-04</t>
        </is>
      </c>
      <c r="J19" s="7" t="inlineStr">
        <is>
          <t>Not in place</t>
        </is>
      </c>
      <c r="K19" s="7" t="inlineStr">
        <is>
          <t>Not in place (constants in code; no approval record)</t>
        </is>
      </c>
    </row>
    <row r="20">
      <c r="A20" s="6" t="inlineStr">
        <is>
          <t>C19</t>
        </is>
      </c>
      <c r="B20" s="7" t="inlineStr">
        <is>
          <t>R08</t>
        </is>
      </c>
      <c r="C20" s="7" t="inlineStr">
        <is>
          <t>Unmatched bank lines are listed for review with contact, date and amount</t>
        </is>
      </c>
      <c r="D20" s="6" t="inlineStr">
        <is>
          <t>Detective</t>
        </is>
      </c>
      <c r="E20" s="6" t="inlineStr">
        <is>
          <t>Automated</t>
        </is>
      </c>
      <c r="F20" s="6" t="inlineStr">
        <is>
          <t>Partial</t>
        </is>
      </c>
      <c r="G20" s="7" t="inlineStr">
        <is>
          <t>Inspect output. Does not explain why unmatched or track resolution. QuickBooks 0/40 auto-match not explained.</t>
        </is>
      </c>
      <c r="H20" s="7" t="inlineStr">
        <is>
          <t>Re-perform matching on a sample; confirm unmatched list is complete; investigate the QuickBooks result.</t>
        </is>
      </c>
      <c r="I20" s="7" t="inlineStr">
        <is>
          <t>matcher.py:110-131; app.py:71-81; Evidence log E-02, E-04, E-06</t>
        </is>
      </c>
      <c r="J20" s="7" t="inlineStr">
        <is>
          <t>Partly adequate</t>
        </is>
      </c>
      <c r="K20" s="7" t="inlineStr">
        <is>
          <t>Operates: unmatched list equals its own source list (tautological). QuickBooks 0/40 arises from sandbox data with no matching documents; no independent check of match correctness; matcher misattributes recurring receipts and depends on row order</t>
        </is>
      </c>
    </row>
    <row r="21">
      <c r="A21" s="6" t="inlineStr">
        <is>
          <t>C20</t>
        </is>
      </c>
      <c r="B21" s="7" t="inlineStr">
        <is>
          <t>R10</t>
        </is>
      </c>
      <c r="C21" s="7" t="inlineStr">
        <is>
          <t>Variance sentences are generated from SQL results by templates, naming the contacts and amounts relied on</t>
        </is>
      </c>
      <c r="D21" s="6" t="inlineStr">
        <is>
          <t>Preventive</t>
        </is>
      </c>
      <c r="E21" s="6" t="inlineStr">
        <is>
          <t>Automated</t>
        </is>
      </c>
      <c r="F21" s="6" t="inlineStr">
        <is>
          <t>Partial</t>
        </is>
      </c>
      <c r="G21" s="7" t="inlineStr">
        <is>
          <t>Inspect explainer: no free text or network; each sentence built from queried values.</t>
        </is>
      </c>
      <c r="H21" s="7" t="inlineStr">
        <is>
          <t>Re-perform for a sample of 10 to 15 sentences from source rows; check the sentence does not overstate causation.</t>
        </is>
      </c>
      <c r="I21" s="7" t="inlineStr">
        <is>
          <t>explainer.py:48-99; Evidence log E-04, E-05, E-06</t>
        </is>
      </c>
      <c r="J21" s="7" t="inlineStr">
        <is>
          <t>Partly adequate (implies causation)</t>
        </is>
      </c>
      <c r="K21" s="7" t="inlineStr">
        <is>
          <t>Ineffective in part: figures agree with source (15/15) but 17 of 52 sentences name at least one driver moving against the headline; contacts absent from the later period are never named</t>
        </is>
      </c>
    </row>
    <row r="22">
      <c r="A22" s="6" t="inlineStr">
        <is>
          <t>C21</t>
        </is>
      </c>
      <c r="B22" s="7" t="inlineStr">
        <is>
          <t>R14; R15</t>
        </is>
      </c>
      <c r="C22" s="7" t="inlineStr">
        <is>
          <t>Every flag requires a recorded human disposition (accept, reject, reason) before close</t>
        </is>
      </c>
      <c r="D22" s="6" t="inlineStr">
        <is>
          <t>Detective</t>
        </is>
      </c>
      <c r="E22" s="6" t="inlineStr">
        <is>
          <t>Manual</t>
        </is>
      </c>
      <c r="F22" s="6" t="inlineStr">
        <is>
          <t>N</t>
        </is>
      </c>
      <c r="G22" s="7" t="inlineStr">
        <is>
          <t>No disposition step in code or documentation.</t>
        </is>
      </c>
      <c r="H22" s="7" t="inlineStr">
        <is>
          <t>Not in place.</t>
        </is>
      </c>
      <c r="I22" s="7" t="inlineStr">
        <is>
          <t>Evidence log E-04</t>
        </is>
      </c>
      <c r="J22" s="7" t="inlineStr">
        <is>
          <t>Not in place</t>
        </is>
      </c>
      <c r="K22" s="7" t="inlineStr">
        <is>
          <t>Not in place (confirmed)</t>
        </is>
      </c>
    </row>
    <row r="23">
      <c r="A23" s="6" t="inlineStr">
        <is>
          <t>C22</t>
        </is>
      </c>
      <c r="B23" s="7" t="inlineStr">
        <is>
          <t>R02</t>
        </is>
      </c>
      <c r="C23" s="7" t="inlineStr">
        <is>
          <t>Each flag carries a reason string naming contact, amount and rule, to enable reviewer triage</t>
        </is>
      </c>
      <c r="D23" s="6" t="inlineStr">
        <is>
          <t>Detective</t>
        </is>
      </c>
      <c r="E23" s="6" t="inlineStr">
        <is>
          <t>Automated</t>
        </is>
      </c>
      <c r="F23" s="6" t="inlineStr">
        <is>
          <t>Partial</t>
        </is>
      </c>
      <c r="G23" s="7" t="inlineStr">
        <is>
          <t>Inspect rules output: reason field present per flag. Supports triage; it does not reduce false positives and is not an oversight control.</t>
        </is>
      </c>
      <c r="H23" s="7" t="inlineStr">
        <is>
          <t>Check a sample of flags from each rule for a meaningful, correct reason.</t>
        </is>
      </c>
      <c r="I23" s="7" t="inlineStr">
        <is>
          <t>rules.py; pipeline.py:17-28; Evidence log E-04, E-06</t>
        </is>
      </c>
      <c r="J23" s="7" t="inlineStr">
        <is>
          <t>Partly adequate</t>
        </is>
      </c>
      <c r="K23" s="7" t="inlineStr">
        <is>
          <t>Partly effective: reasons present on all 54 flags, but A6 excluded from the contact test; null contact prints 'Bank line for None' (BT-050); correctness of reasons not verified; A4 text asserts a client-specific assumption</t>
        </is>
      </c>
    </row>
    <row r="24">
      <c r="A24" s="6" t="inlineStr">
        <is>
          <t>C23</t>
        </is>
      </c>
      <c r="B24" s="7" t="inlineStr">
        <is>
          <t>R20; R21</t>
        </is>
      </c>
      <c r="C24" s="7" t="inlineStr">
        <is>
          <t>Source control with commit history</t>
        </is>
      </c>
      <c r="D24" s="6" t="inlineStr">
        <is>
          <t>Preventive</t>
        </is>
      </c>
      <c r="E24" s="6" t="inlineStr">
        <is>
          <t>Automated</t>
        </is>
      </c>
      <c r="F24" s="6" t="inlineStr">
        <is>
          <t>Partial</t>
        </is>
      </c>
      <c r="G24" s="7" t="inlineStr">
        <is>
          <t>Git history exists (13 commits) but no releases, tags, reviews or branch rules.</t>
        </is>
      </c>
      <c r="H24" s="7" t="inlineStr">
        <is>
          <t>Confirm history is intact and the pinned commit is reproducible.</t>
        </is>
      </c>
      <c r="I24" s="7" t="inlineStr">
        <is>
          <t>git log (13 commits, no tags); Evidence log E-06; results/git_state.txt</t>
        </is>
      </c>
      <c r="J24" s="7" t="inlineStr">
        <is>
          <t>Partly adequate</t>
        </is>
      </c>
      <c r="K24" s="7" t="inlineStr">
        <is>
          <t>Operates: 13 commits, 0 tags, pinned commit reproducible by clone; no review, branch protection or releases</t>
        </is>
      </c>
    </row>
    <row r="25">
      <c r="A25" s="6" t="inlineStr">
        <is>
          <t>C24</t>
        </is>
      </c>
      <c r="B25" s="7" t="inlineStr">
        <is>
          <t>R20; R01</t>
        </is>
      </c>
      <c r="C25" s="7" t="inlineStr">
        <is>
          <t>Automated regression suite (known errors and clean items) run before each release</t>
        </is>
      </c>
      <c r="D25" s="6" t="inlineStr">
        <is>
          <t>Detective</t>
        </is>
      </c>
      <c r="E25" s="6" t="inlineStr">
        <is>
          <t>Automated</t>
        </is>
      </c>
      <c r="F25" s="6" t="inlineStr">
        <is>
          <t>N</t>
        </is>
      </c>
      <c r="G25" s="7" t="inlineStr">
        <is>
          <t>No tests directory.</t>
        </is>
      </c>
      <c r="H25" s="7" t="inlineStr">
        <is>
          <t>Not in place.</t>
        </is>
      </c>
      <c r="I25" s="7" t="inlineStr">
        <is>
          <t>Evidence log E-04</t>
        </is>
      </c>
      <c r="J25" s="7" t="inlineStr">
        <is>
          <t>Not in place</t>
        </is>
      </c>
      <c r="K25" s="7" t="inlineStr">
        <is>
          <t>Not in place (confirmed)</t>
        </is>
      </c>
    </row>
    <row r="26">
      <c r="A26" s="6" t="inlineStr">
        <is>
          <t>C25</t>
        </is>
      </c>
      <c r="B26" s="7" t="inlineStr">
        <is>
          <t>R21</t>
        </is>
      </c>
      <c r="C26" s="7" t="inlineStr">
        <is>
          <t>Release tagging and a version stamp on every output</t>
        </is>
      </c>
      <c r="D26" s="6" t="inlineStr">
        <is>
          <t>Preventive</t>
        </is>
      </c>
      <c r="E26" s="6" t="inlineStr">
        <is>
          <t>Automated</t>
        </is>
      </c>
      <c r="F26" s="6" t="inlineStr">
        <is>
          <t>N</t>
        </is>
      </c>
      <c r="G26" s="7" t="inlineStr">
        <is>
          <t>No tags; no version in output.</t>
        </is>
      </c>
      <c r="H26" s="7" t="inlineStr">
        <is>
          <t>Not in place.</t>
        </is>
      </c>
      <c r="I26" s="7" t="inlineStr">
        <is>
          <t>Evidence log E-04</t>
        </is>
      </c>
      <c r="J26" s="7" t="inlineStr">
        <is>
          <t>Not in place</t>
        </is>
      </c>
      <c r="K26" s="7" t="inlineStr">
        <is>
          <t>Not in place (confirmed: 0 tags)</t>
        </is>
      </c>
    </row>
    <row r="27">
      <c r="A27" s="6" t="inlineStr">
        <is>
          <t>C26</t>
        </is>
      </c>
      <c r="B27" s="7" t="inlineStr">
        <is>
          <t>R24</t>
        </is>
      </c>
      <c r="C27" s="7" t="inlineStr">
        <is>
          <t>Run log recording input hash, code version, timestamp, output and user for every run</t>
        </is>
      </c>
      <c r="D27" s="6" t="inlineStr">
        <is>
          <t>Detective</t>
        </is>
      </c>
      <c r="E27" s="6" t="inlineStr">
        <is>
          <t>Automated</t>
        </is>
      </c>
      <c r="F27" s="6" t="inlineStr">
        <is>
          <t>N</t>
        </is>
      </c>
      <c r="G27" s="7" t="inlineStr">
        <is>
          <t>No logging or run table.</t>
        </is>
      </c>
      <c r="H27" s="7" t="inlineStr">
        <is>
          <t>Not in place.</t>
        </is>
      </c>
      <c r="I27" s="7" t="inlineStr">
        <is>
          <t>src/db/schema.sql (no audit table); Evidence log E-04</t>
        </is>
      </c>
      <c r="J27" s="7" t="inlineStr">
        <is>
          <t>Not in place</t>
        </is>
      </c>
      <c r="K27" s="7" t="inlineStr">
        <is>
          <t>Not in place (confirmed)</t>
        </is>
      </c>
    </row>
    <row r="28">
      <c r="A28" s="6" t="inlineStr">
        <is>
          <t>C27</t>
        </is>
      </c>
      <c r="B28" s="7" t="inlineStr">
        <is>
          <t>R26; R15</t>
        </is>
      </c>
      <c r="C28" s="7" t="inlineStr">
        <is>
          <t>README states intended use, known limitations, that the tool is rules-based with no LLM, and its not-for-production status</t>
        </is>
      </c>
      <c r="D28" s="6" t="inlineStr">
        <is>
          <t>Preventive</t>
        </is>
      </c>
      <c r="E28" s="6" t="inlineStr">
        <is>
          <t>Manual</t>
        </is>
      </c>
      <c r="F28" s="6" t="inlineStr">
        <is>
          <t>N</t>
        </is>
      </c>
      <c r="G28" s="7" t="inlineStr">
        <is>
          <t>Not in place. The README does not state intended use, limits on real books, false negatives or production status.</t>
        </is>
      </c>
      <c r="H28" s="7" t="inlineStr">
        <is>
          <t>Not in place. Retest wording after remediation.</t>
        </is>
      </c>
      <c r="I28" s="7" t="inlineStr">
        <is>
          <t>README.md:5; Evidence log E-04</t>
        </is>
      </c>
      <c r="J28" s="7" t="inlineStr">
        <is>
          <t>Not in place</t>
        </is>
      </c>
      <c r="K28" s="7" t="inlineStr">
        <is>
          <t>Not in place (confirmed: no such statement in the README)</t>
        </is>
      </c>
    </row>
    <row r="29">
      <c r="A29" s="6" t="inlineStr">
        <is>
          <t>C28</t>
        </is>
      </c>
      <c r="B29" s="7" t="inlineStr">
        <is>
          <t>R27</t>
        </is>
      </c>
      <c r="C29" s="7" t="inlineStr">
        <is>
          <t>Dashboard states clearly when a displayed score is a static published figure rather than a computed one</t>
        </is>
      </c>
      <c r="D29" s="6" t="inlineStr">
        <is>
          <t>Preventive</t>
        </is>
      </c>
      <c r="E29" s="6" t="inlineStr">
        <is>
          <t>Manual</t>
        </is>
      </c>
      <c r="F29" s="6" t="inlineStr">
        <is>
          <t>N</t>
        </is>
      </c>
      <c r="G29" s="7" t="inlineStr">
        <is>
          <t>Code comment discloses; UI caption does not.</t>
        </is>
      </c>
      <c r="H29" s="7" t="inlineStr">
        <is>
          <t>Not in place.</t>
        </is>
      </c>
      <c r="I29" s="7" t="inlineStr">
        <is>
          <t>app.py:32-41, 173-178; Evidence log E-04</t>
        </is>
      </c>
      <c r="J29" s="7" t="inlineStr">
        <is>
          <t>Not in place</t>
        </is>
      </c>
      <c r="K29" s="7" t="inlineStr">
        <is>
          <t>Not in place (confirmed)</t>
        </is>
      </c>
    </row>
    <row r="30">
      <c r="A30" s="6" t="inlineStr">
        <is>
          <t>C29</t>
        </is>
      </c>
      <c r="B30" s="7" t="inlineStr">
        <is>
          <t>R28</t>
        </is>
      </c>
      <c r="C30" s="7" t="inlineStr">
        <is>
          <t>Independence disclosure in ToR and a challenge review of testing</t>
        </is>
      </c>
      <c r="D30" s="6" t="inlineStr">
        <is>
          <t>Detective</t>
        </is>
      </c>
      <c r="E30" s="6" t="inlineStr">
        <is>
          <t>Manual</t>
        </is>
      </c>
      <c r="F30" s="6" t="inlineStr">
        <is>
          <t>Partial</t>
        </is>
      </c>
      <c r="G30" s="7" t="inlineStr">
        <is>
          <t>Disclosure in place (ToR s1); challenge review planned for Phase 4, not yet done.</t>
        </is>
      </c>
      <c r="H30" s="7" t="inlineStr">
        <is>
          <t>Perform the challenge review in Phase 4 and record challenges.</t>
        </is>
      </c>
      <c r="I30" s="7" t="inlineStr">
        <is>
          <t>terms_of_reference.md s1</t>
        </is>
      </c>
      <c r="J30" s="7" t="inlineStr">
        <is>
          <t>Partly adequate</t>
        </is>
      </c>
      <c r="K30" s="7" t="inlineStr">
        <is>
          <t>Not yet tested (challenge review pending)</t>
        </is>
      </c>
    </row>
  </sheetData>
  <autoFilter ref="A1:K30"/>
  <conditionalFormatting sqref="F2:F30">
    <cfRule type="expression" priority="1" dxfId="0">
      <formula>F2="N"</formula>
    </cfRule>
    <cfRule type="expression" priority="2" dxfId="1">
      <formula>F2="Partial"</formula>
    </cfRule>
    <cfRule type="expression" priority="3" dxfId="2">
      <formula>F2="Y"</formula>
    </cfRule>
  </conditionalFormatting>
  <dataValidations count="1">
    <dataValidation sqref="F2:F30" showDropDown="0" showInputMessage="0" showErrorMessage="0" allowBlank="0" type="list">
      <formula1>"Y,N,Partial"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9" customWidth="1" min="3" max="3"/>
    <col width="10" customWidth="1" min="4" max="4"/>
    <col width="12" customWidth="1" min="5" max="5"/>
    <col width="10" customWidth="1" min="6" max="6"/>
    <col width="13" customWidth="1" min="7" max="7"/>
    <col width="26" customWidth="1" min="8" max="8"/>
  </cols>
  <sheetData>
    <row r="1">
      <c r="A1" s="1" t="inlineStr">
        <is>
          <t>Risk-to-control coverage (counts recalculate from the Control Matrix)</t>
        </is>
      </c>
    </row>
    <row r="2">
      <c r="A2" s="8" t="inlineStr">
        <is>
          <t>Risk ID, description and rating are copied from 02_risk/risk_register.xlsx as at 23 Sep 2026, updated after the Phase 4 challenge review (R08 now High; R10 rescored, still Medium). Static; refresh if scores change.</t>
        </is>
      </c>
    </row>
    <row r="4">
      <c r="A4" s="5" t="inlineStr">
        <is>
          <t>Risk ID</t>
        </is>
      </c>
      <c r="B4" s="5" t="inlineStr">
        <is>
          <t>Description</t>
        </is>
      </c>
      <c r="C4" s="5" t="inlineStr">
        <is>
          <t>Rating</t>
        </is>
      </c>
      <c r="D4" s="5" t="inlineStr">
        <is>
          <t>Controls linked</t>
        </is>
      </c>
      <c r="E4" s="5" t="inlineStr">
        <is>
          <t>Controls in place (Y)</t>
        </is>
      </c>
      <c r="F4" s="5" t="inlineStr">
        <is>
          <t>Controls partial</t>
        </is>
      </c>
      <c r="G4" s="5" t="inlineStr">
        <is>
          <t>Controls not in place (N)</t>
        </is>
      </c>
      <c r="H4" s="5" t="inlineStr">
        <is>
          <t>Coverage status</t>
        </is>
      </c>
    </row>
    <row r="5">
      <c r="A5" s="9" t="inlineStr">
        <is>
          <t>R01</t>
        </is>
      </c>
      <c r="B5" s="7" t="inlineStr">
        <is>
          <t>Real errors missed on data unlike the planted patterns (false negatives)</t>
        </is>
      </c>
      <c r="C5" s="6" t="inlineStr">
        <is>
          <t>High</t>
        </is>
      </c>
      <c r="D5" s="6">
        <f>COUNTIF('Control Matrix'!$B$2:$B$30,"*"&amp;A5&amp;"*")</f>
        <v/>
      </c>
      <c r="E5" s="6">
        <f>COUNTIFS('Control Matrix'!$B$2:$B$30,"*"&amp;$A5&amp;"*",'Control Matrix'!$F$2:$F$30,"Y")</f>
        <v/>
      </c>
      <c r="F5" s="6">
        <f>COUNTIFS('Control Matrix'!$B$2:$B$30,"*"&amp;$A5&amp;"*",'Control Matrix'!$F$2:$F$30,"Partial")</f>
        <v/>
      </c>
      <c r="G5" s="6">
        <f>COUNTIFS('Control Matrix'!$B$2:$B$30,"*"&amp;$A5&amp;"*",'Control Matrix'!$F$2:$F$30,"N")</f>
        <v/>
      </c>
      <c r="H5" s="6">
        <f>IF(D5=0,"GAP: no control identified",IF(E5&gt;0,"Covered",IF(F5&gt;0,"Partly covered","GAP: control not in place")))</f>
        <v/>
      </c>
    </row>
    <row r="6">
      <c r="A6" s="9" t="inlineStr">
        <is>
          <t>R02</t>
        </is>
      </c>
      <c r="B6" s="7" t="inlineStr">
        <is>
          <t>Clean items wrongly flagged (false positives) create review burden and desensitise reviewers</t>
        </is>
      </c>
      <c r="C6" s="6" t="inlineStr">
        <is>
          <t>Medium</t>
        </is>
      </c>
      <c r="D6" s="6">
        <f>COUNTIF('Control Matrix'!$B$2:$B$30,"*"&amp;A6&amp;"*")</f>
        <v/>
      </c>
      <c r="E6" s="6">
        <f>COUNTIFS('Control Matrix'!$B$2:$B$30,"*"&amp;$A6&amp;"*",'Control Matrix'!$F$2:$F$30,"Y")</f>
        <v/>
      </c>
      <c r="F6" s="6">
        <f>COUNTIFS('Control Matrix'!$B$2:$B$30,"*"&amp;$A6&amp;"*",'Control Matrix'!$F$2:$F$30,"Partial")</f>
        <v/>
      </c>
      <c r="G6" s="6">
        <f>COUNTIFS('Control Matrix'!$B$2:$B$30,"*"&amp;$A6&amp;"*",'Control Matrix'!$F$2:$F$30,"N")</f>
        <v/>
      </c>
      <c r="H6" s="6">
        <f>IF(D6=0,"GAP: no control identified",IF(E6&gt;0,"Covered",IF(F6&gt;0,"Partly covered","GAP: control not in place")))</f>
        <v/>
      </c>
    </row>
    <row r="7">
      <c r="A7" s="9" t="inlineStr">
        <is>
          <t>R03</t>
        </is>
      </c>
      <c r="B7" s="7" t="inlineStr">
        <is>
          <t>Reported accuracy is overstated because validation was circular (planted anomalies designed to fit the rules)</t>
        </is>
      </c>
      <c r="C7" s="6" t="inlineStr">
        <is>
          <t>High</t>
        </is>
      </c>
      <c r="D7" s="6">
        <f>COUNTIF('Control Matrix'!$B$2:$B$30,"*"&amp;A7&amp;"*")</f>
        <v/>
      </c>
      <c r="E7" s="6">
        <f>COUNTIFS('Control Matrix'!$B$2:$B$30,"*"&amp;$A7&amp;"*",'Control Matrix'!$F$2:$F$30,"Y")</f>
        <v/>
      </c>
      <c r="F7" s="6">
        <f>COUNTIFS('Control Matrix'!$B$2:$B$30,"*"&amp;$A7&amp;"*",'Control Matrix'!$F$2:$F$30,"Partial")</f>
        <v/>
      </c>
      <c r="G7" s="6">
        <f>COUNTIFS('Control Matrix'!$B$2:$B$30,"*"&amp;$A7&amp;"*",'Control Matrix'!$F$2:$F$30,"N")</f>
        <v/>
      </c>
      <c r="H7" s="6">
        <f>IF(D7=0,"GAP: no control identified",IF(E7&gt;0,"Covered",IF(F7&gt;0,"Partly covered","GAP: control not in place")))</f>
        <v/>
      </c>
    </row>
    <row r="8">
      <c r="A8" s="9" t="inlineStr">
        <is>
          <t>R04</t>
        </is>
      </c>
      <c r="B8" s="7" t="inlineStr">
        <is>
          <t>Duplicate supplier bills not detected: A1 checks sales invoices (ACCREC) only</t>
        </is>
      </c>
      <c r="C8" s="6" t="inlineStr">
        <is>
          <t>Medium</t>
        </is>
      </c>
      <c r="D8" s="6">
        <f>COUNTIF('Control Matrix'!$B$2:$B$30,"*"&amp;A8&amp;"*")</f>
        <v/>
      </c>
      <c r="E8" s="6">
        <f>COUNTIFS('Control Matrix'!$B$2:$B$30,"*"&amp;$A8&amp;"*",'Control Matrix'!$F$2:$F$30,"Y")</f>
        <v/>
      </c>
      <c r="F8" s="6">
        <f>COUNTIFS('Control Matrix'!$B$2:$B$30,"*"&amp;$A8&amp;"*",'Control Matrix'!$F$2:$F$30,"Partial")</f>
        <v/>
      </c>
      <c r="G8" s="6">
        <f>COUNTIFS('Control Matrix'!$B$2:$B$30,"*"&amp;$A8&amp;"*",'Control Matrix'!$F$2:$F$30,"N")</f>
        <v/>
      </c>
      <c r="H8" s="6">
        <f>IF(D8=0,"GAP: no control identified",IF(E8&gt;0,"Covered",IF(F8&gt;0,"Partly covered","GAP: control not in place")))</f>
        <v/>
      </c>
    </row>
    <row r="9">
      <c r="A9" s="9" t="inlineStr">
        <is>
          <t>R05</t>
        </is>
      </c>
      <c r="B9" s="7" t="inlineStr">
        <is>
          <t>A1 compares adjacent sorted rows only, so three or more near-identical entries may be under-reported</t>
        </is>
      </c>
      <c r="C9" s="6" t="inlineStr">
        <is>
          <t>Low</t>
        </is>
      </c>
      <c r="D9" s="6">
        <f>COUNTIF('Control Matrix'!$B$2:$B$30,"*"&amp;A9&amp;"*")</f>
        <v/>
      </c>
      <c r="E9" s="6">
        <f>COUNTIFS('Control Matrix'!$B$2:$B$30,"*"&amp;$A9&amp;"*",'Control Matrix'!$F$2:$F$30,"Y")</f>
        <v/>
      </c>
      <c r="F9" s="6">
        <f>COUNTIFS('Control Matrix'!$B$2:$B$30,"*"&amp;$A9&amp;"*",'Control Matrix'!$F$2:$F$30,"Partial")</f>
        <v/>
      </c>
      <c r="G9" s="6">
        <f>COUNTIFS('Control Matrix'!$B$2:$B$30,"*"&amp;$A9&amp;"*",'Control Matrix'!$F$2:$F$30,"N")</f>
        <v/>
      </c>
      <c r="H9" s="6">
        <f>IF(D9=0,"GAP: no control identified",IF(E9&gt;0,"Covered",IF(F9&gt;0,"Partly covered","GAP: control not in place")))</f>
        <v/>
      </c>
    </row>
    <row r="10">
      <c r="A10" s="9" t="inlineStr">
        <is>
          <t>R06</t>
        </is>
      </c>
      <c r="B10" s="7" t="inlineStr">
        <is>
          <t>Fixed thresholds and tolerances (A3 £500, match tolerances, windows) are uncalibrated, unapproved and easy to avoid</t>
        </is>
      </c>
      <c r="C10" s="6" t="inlineStr">
        <is>
          <t>Medium</t>
        </is>
      </c>
      <c r="D10" s="6">
        <f>COUNTIF('Control Matrix'!$B$2:$B$30,"*"&amp;A10&amp;"*")</f>
        <v/>
      </c>
      <c r="E10" s="6">
        <f>COUNTIFS('Control Matrix'!$B$2:$B$30,"*"&amp;$A10&amp;"*",'Control Matrix'!$F$2:$F$30,"Y")</f>
        <v/>
      </c>
      <c r="F10" s="6">
        <f>COUNTIFS('Control Matrix'!$B$2:$B$30,"*"&amp;$A10&amp;"*",'Control Matrix'!$F$2:$F$30,"Partial")</f>
        <v/>
      </c>
      <c r="G10" s="6">
        <f>COUNTIFS('Control Matrix'!$B$2:$B$30,"*"&amp;$A10&amp;"*",'Control Matrix'!$F$2:$F$30,"N")</f>
        <v/>
      </c>
      <c r="H10" s="6">
        <f>IF(D10=0,"GAP: no control identified",IF(E10&gt;0,"Covered",IF(F10&gt;0,"Partly covered","GAP: control not in place")))</f>
        <v/>
      </c>
    </row>
    <row r="11">
      <c r="A11" s="9" t="inlineStr">
        <is>
          <t>R07</t>
        </is>
      </c>
      <c r="B11" s="7" t="inlineStr">
        <is>
          <t>Statistical outlier check (A7) is unreliable on small or uniform account populations</t>
        </is>
      </c>
      <c r="C11" s="6" t="inlineStr">
        <is>
          <t>Medium</t>
        </is>
      </c>
      <c r="D11" s="6">
        <f>COUNTIF('Control Matrix'!$B$2:$B$30,"*"&amp;A11&amp;"*")</f>
        <v/>
      </c>
      <c r="E11" s="6">
        <f>COUNTIFS('Control Matrix'!$B$2:$B$30,"*"&amp;$A11&amp;"*",'Control Matrix'!$F$2:$F$30,"Y")</f>
        <v/>
      </c>
      <c r="F11" s="6">
        <f>COUNTIFS('Control Matrix'!$B$2:$B$30,"*"&amp;$A11&amp;"*",'Control Matrix'!$F$2:$F$30,"Partial")</f>
        <v/>
      </c>
      <c r="G11" s="6">
        <f>COUNTIFS('Control Matrix'!$B$2:$B$30,"*"&amp;$A11&amp;"*",'Control Matrix'!$F$2:$F$30,"N")</f>
        <v/>
      </c>
      <c r="H11" s="6">
        <f>IF(D11=0,"GAP: no control identified",IF(E11&gt;0,"Covered",IF(F11&gt;0,"Partly covered","GAP: control not in place")))</f>
        <v/>
      </c>
    </row>
    <row r="12">
      <c r="A12" s="9" t="inlineStr">
        <is>
          <t>R08</t>
        </is>
      </c>
      <c r="B12" s="7" t="inlineStr">
        <is>
          <t>Reconciliation attributes bank lines to the wrong document, loses genuine matches or gives different results depending on record order (first match taken, no one-to-one allocation)</t>
        </is>
      </c>
      <c r="C12" s="6" t="inlineStr">
        <is>
          <t>High</t>
        </is>
      </c>
      <c r="D12" s="6">
        <f>COUNTIF('Control Matrix'!$B$2:$B$30,"*"&amp;A12&amp;"*")</f>
        <v/>
      </c>
      <c r="E12" s="6">
        <f>COUNTIFS('Control Matrix'!$B$2:$B$30,"*"&amp;$A12&amp;"*",'Control Matrix'!$F$2:$F$30,"Y")</f>
        <v/>
      </c>
      <c r="F12" s="6">
        <f>COUNTIFS('Control Matrix'!$B$2:$B$30,"*"&amp;$A12&amp;"*",'Control Matrix'!$F$2:$F$30,"Partial")</f>
        <v/>
      </c>
      <c r="G12" s="6">
        <f>COUNTIFS('Control Matrix'!$B$2:$B$30,"*"&amp;$A12&amp;"*",'Control Matrix'!$F$2:$F$30,"N")</f>
        <v/>
      </c>
      <c r="H12" s="6">
        <f>IF(D12=0,"GAP: no control identified",IF(E12&gt;0,"Covered",IF(F12&gt;0,"Partly covered","GAP: control not in place")))</f>
        <v/>
      </c>
    </row>
    <row r="13">
      <c r="A13" s="9" t="inlineStr">
        <is>
          <t>R09</t>
        </is>
      </c>
      <c r="B13" s="7" t="inlineStr">
        <is>
          <t>Weekend-posting rule (A4) produces false positives on legitimate items and ignores public holidays</t>
        </is>
      </c>
      <c r="C13" s="6" t="inlineStr">
        <is>
          <t>Low</t>
        </is>
      </c>
      <c r="D13" s="6">
        <f>COUNTIF('Control Matrix'!$B$2:$B$30,"*"&amp;A13&amp;"*")</f>
        <v/>
      </c>
      <c r="E13" s="6">
        <f>COUNTIFS('Control Matrix'!$B$2:$B$30,"*"&amp;$A13&amp;"*",'Control Matrix'!$F$2:$F$30,"Y")</f>
        <v/>
      </c>
      <c r="F13" s="6">
        <f>COUNTIFS('Control Matrix'!$B$2:$B$30,"*"&amp;$A13&amp;"*",'Control Matrix'!$F$2:$F$30,"Partial")</f>
        <v/>
      </c>
      <c r="G13" s="6">
        <f>COUNTIFS('Control Matrix'!$B$2:$B$30,"*"&amp;$A13&amp;"*",'Control Matrix'!$F$2:$F$30,"N")</f>
        <v/>
      </c>
      <c r="H13" s="6">
        <f>IF(D13=0,"GAP: no control identified",IF(E13&gt;0,"Covered",IF(F13&gt;0,"Partly covered","GAP: control not in place")))</f>
        <v/>
      </c>
    </row>
    <row r="14">
      <c r="A14" s="9" t="inlineStr">
        <is>
          <t>R10</t>
        </is>
      </c>
      <c r="B14" s="7" t="inlineStr">
        <is>
          <t>Variance explanations name top contacts but not causes, and may be read as a causal explanation</t>
        </is>
      </c>
      <c r="C14" s="6" t="inlineStr">
        <is>
          <t>Medium</t>
        </is>
      </c>
      <c r="D14" s="6">
        <f>COUNTIF('Control Matrix'!$B$2:$B$30,"*"&amp;A14&amp;"*")</f>
        <v/>
      </c>
      <c r="E14" s="6">
        <f>COUNTIFS('Control Matrix'!$B$2:$B$30,"*"&amp;$A14&amp;"*",'Control Matrix'!$F$2:$F$30,"Y")</f>
        <v/>
      </c>
      <c r="F14" s="6">
        <f>COUNTIFS('Control Matrix'!$B$2:$B$30,"*"&amp;$A14&amp;"*",'Control Matrix'!$F$2:$F$30,"Partial")</f>
        <v/>
      </c>
      <c r="G14" s="6">
        <f>COUNTIFS('Control Matrix'!$B$2:$B$30,"*"&amp;$A14&amp;"*",'Control Matrix'!$F$2:$F$30,"N")</f>
        <v/>
      </c>
      <c r="H14" s="6">
        <f>IF(D14=0,"GAP: no control identified",IF(E14&gt;0,"Covered",IF(F14&gt;0,"Partly covered","GAP: control not in place")))</f>
        <v/>
      </c>
    </row>
    <row r="15">
      <c r="A15" s="9" t="inlineStr">
        <is>
          <t>R11</t>
        </is>
      </c>
      <c r="B15" s="7" t="inlineStr">
        <is>
          <t>Unpinned dependencies allow silent behaviour change across installs or redeploys</t>
        </is>
      </c>
      <c r="C15" s="6" t="inlineStr">
        <is>
          <t>Medium</t>
        </is>
      </c>
      <c r="D15" s="6">
        <f>COUNTIF('Control Matrix'!$B$2:$B$30,"*"&amp;A15&amp;"*")</f>
        <v/>
      </c>
      <c r="E15" s="6">
        <f>COUNTIFS('Control Matrix'!$B$2:$B$30,"*"&amp;$A15&amp;"*",'Control Matrix'!$F$2:$F$30,"Y")</f>
        <v/>
      </c>
      <c r="F15" s="6">
        <f>COUNTIFS('Control Matrix'!$B$2:$B$30,"*"&amp;$A15&amp;"*",'Control Matrix'!$F$2:$F$30,"Partial")</f>
        <v/>
      </c>
      <c r="G15" s="6">
        <f>COUNTIFS('Control Matrix'!$B$2:$B$30,"*"&amp;$A15&amp;"*",'Control Matrix'!$F$2:$F$30,"N")</f>
        <v/>
      </c>
      <c r="H15" s="6">
        <f>IF(D15=0,"GAP: no control identified",IF(E15&gt;0,"Covered",IF(F15&gt;0,"Partly covered","GAP: control not in place")))</f>
        <v/>
      </c>
    </row>
    <row r="16">
      <c r="A16" s="9" t="inlineStr">
        <is>
          <t>R12</t>
        </is>
      </c>
      <c r="B16" s="7" t="inlineStr">
        <is>
          <t>Incomplete or malformed ledger data (missing contacts, voided invoices, unlinked payments) yields confident but wrong results</t>
        </is>
      </c>
      <c r="C16" s="6" t="inlineStr">
        <is>
          <t>Medium</t>
        </is>
      </c>
      <c r="D16" s="6">
        <f>COUNTIF('Control Matrix'!$B$2:$B$30,"*"&amp;A16&amp;"*")</f>
        <v/>
      </c>
      <c r="E16" s="6">
        <f>COUNTIFS('Control Matrix'!$B$2:$B$30,"*"&amp;$A16&amp;"*",'Control Matrix'!$F$2:$F$30,"Y")</f>
        <v/>
      </c>
      <c r="F16" s="6">
        <f>COUNTIFS('Control Matrix'!$B$2:$B$30,"*"&amp;$A16&amp;"*",'Control Matrix'!$F$2:$F$30,"Partial")</f>
        <v/>
      </c>
      <c r="G16" s="6">
        <f>COUNTIFS('Control Matrix'!$B$2:$B$30,"*"&amp;$A16&amp;"*",'Control Matrix'!$F$2:$F$30,"N")</f>
        <v/>
      </c>
      <c r="H16" s="6">
        <f>IF(D16=0,"GAP: no control identified",IF(E16&gt;0,"Covered",IF(F16&gt;0,"Partly covered","GAP: control not in place")))</f>
        <v/>
      </c>
    </row>
    <row r="17">
      <c r="A17" s="9" t="inlineStr">
        <is>
          <t>R13</t>
        </is>
      </c>
      <c r="B17" s="7" t="inlineStr">
        <is>
          <t>Incomplete data pull (pagination, sync gaps) silently under-covers the ledger</t>
        </is>
      </c>
      <c r="C17" s="6" t="inlineStr">
        <is>
          <t>Medium</t>
        </is>
      </c>
      <c r="D17" s="6">
        <f>COUNTIF('Control Matrix'!$B$2:$B$30,"*"&amp;A17&amp;"*")</f>
        <v/>
      </c>
      <c r="E17" s="6">
        <f>COUNTIFS('Control Matrix'!$B$2:$B$30,"*"&amp;$A17&amp;"*",'Control Matrix'!$F$2:$F$30,"Y")</f>
        <v/>
      </c>
      <c r="F17" s="6">
        <f>COUNTIFS('Control Matrix'!$B$2:$B$30,"*"&amp;$A17&amp;"*",'Control Matrix'!$F$2:$F$30,"Partial")</f>
        <v/>
      </c>
      <c r="G17" s="6">
        <f>COUNTIFS('Control Matrix'!$B$2:$B$30,"*"&amp;$A17&amp;"*",'Control Matrix'!$F$2:$F$30,"N")</f>
        <v/>
      </c>
      <c r="H17" s="6">
        <f>IF(D17=0,"GAP: no control identified",IF(E17&gt;0,"Covered",IF(F17&gt;0,"Partly covered","GAP: control not in place")))</f>
        <v/>
      </c>
    </row>
    <row r="18">
      <c r="A18" s="9" t="inlineStr">
        <is>
          <t>R14</t>
        </is>
      </c>
      <c r="B18" s="7" t="inlineStr">
        <is>
          <t>No human disposition step: flags may be ignored, or actioned with no record</t>
        </is>
      </c>
      <c r="C18" s="6" t="inlineStr">
        <is>
          <t>High</t>
        </is>
      </c>
      <c r="D18" s="6">
        <f>COUNTIF('Control Matrix'!$B$2:$B$30,"*"&amp;A18&amp;"*")</f>
        <v/>
      </c>
      <c r="E18" s="6">
        <f>COUNTIFS('Control Matrix'!$B$2:$B$30,"*"&amp;$A18&amp;"*",'Control Matrix'!$F$2:$F$30,"Y")</f>
        <v/>
      </c>
      <c r="F18" s="6">
        <f>COUNTIFS('Control Matrix'!$B$2:$B$30,"*"&amp;$A18&amp;"*",'Control Matrix'!$F$2:$F$30,"Partial")</f>
        <v/>
      </c>
      <c r="G18" s="6">
        <f>COUNTIFS('Control Matrix'!$B$2:$B$30,"*"&amp;$A18&amp;"*",'Control Matrix'!$F$2:$F$30,"N")</f>
        <v/>
      </c>
      <c r="H18" s="6">
        <f>IF(D18=0,"GAP: no control identified",IF(E18&gt;0,"Covered",IF(F18&gt;0,"Partly covered","GAP: control not in place")))</f>
        <v/>
      </c>
    </row>
    <row r="19">
      <c r="A19" s="9" t="inlineStr">
        <is>
          <t>R15</t>
        </is>
      </c>
      <c r="B19" s="7" t="inlineStr">
        <is>
          <t>Reviewers over-rely on the tool because of the 7/7 headline</t>
        </is>
      </c>
      <c r="C19" s="6" t="inlineStr">
        <is>
          <t>Medium</t>
        </is>
      </c>
      <c r="D19" s="6">
        <f>COUNTIF('Control Matrix'!$B$2:$B$30,"*"&amp;A19&amp;"*")</f>
        <v/>
      </c>
      <c r="E19" s="6">
        <f>COUNTIFS('Control Matrix'!$B$2:$B$30,"*"&amp;$A19&amp;"*",'Control Matrix'!$F$2:$F$30,"Y")</f>
        <v/>
      </c>
      <c r="F19" s="6">
        <f>COUNTIFS('Control Matrix'!$B$2:$B$30,"*"&amp;$A19&amp;"*",'Control Matrix'!$F$2:$F$30,"Partial")</f>
        <v/>
      </c>
      <c r="G19" s="6">
        <f>COUNTIFS('Control Matrix'!$B$2:$B$30,"*"&amp;$A19&amp;"*",'Control Matrix'!$F$2:$F$30,"N")</f>
        <v/>
      </c>
      <c r="H19" s="6">
        <f>IF(D19=0,"GAP: no control identified",IF(E19&gt;0,"Covered",IF(F19&gt;0,"Partly covered","GAP: control not in place")))</f>
        <v/>
      </c>
    </row>
    <row r="20">
      <c r="A20" s="9" t="inlineStr">
        <is>
          <t>R16</t>
        </is>
      </c>
      <c r="B20" s="7" t="inlineStr">
        <is>
          <t>QuickBooks scope is read/write although the code only reads (excessive permission)</t>
        </is>
      </c>
      <c r="C20" s="6" t="inlineStr">
        <is>
          <t>Medium</t>
        </is>
      </c>
      <c r="D20" s="6">
        <f>COUNTIF('Control Matrix'!$B$2:$B$30,"*"&amp;A20&amp;"*")</f>
        <v/>
      </c>
      <c r="E20" s="6">
        <f>COUNTIFS('Control Matrix'!$B$2:$B$30,"*"&amp;$A20&amp;"*",'Control Matrix'!$F$2:$F$30,"Y")</f>
        <v/>
      </c>
      <c r="F20" s="6">
        <f>COUNTIFS('Control Matrix'!$B$2:$B$30,"*"&amp;$A20&amp;"*",'Control Matrix'!$F$2:$F$30,"Partial")</f>
        <v/>
      </c>
      <c r="G20" s="6">
        <f>COUNTIFS('Control Matrix'!$B$2:$B$30,"*"&amp;$A20&amp;"*",'Control Matrix'!$F$2:$F$30,"N")</f>
        <v/>
      </c>
      <c r="H20" s="6">
        <f>IF(D20=0,"GAP: no control identified",IF(E20&gt;0,"Covered",IF(F20&gt;0,"Partly covered","GAP: control not in place")))</f>
        <v/>
      </c>
    </row>
    <row r="21">
      <c r="A21" s="9" t="inlineStr">
        <is>
          <t>R17</t>
        </is>
      </c>
      <c r="B21" s="7" t="inlineStr">
        <is>
          <t>Refresh tokens stored in plaintext in .env</t>
        </is>
      </c>
      <c r="C21" s="6" t="inlineStr">
        <is>
          <t>Medium</t>
        </is>
      </c>
      <c r="D21" s="6">
        <f>COUNTIF('Control Matrix'!$B$2:$B$30,"*"&amp;A21&amp;"*")</f>
        <v/>
      </c>
      <c r="E21" s="6">
        <f>COUNTIFS('Control Matrix'!$B$2:$B$30,"*"&amp;$A21&amp;"*",'Control Matrix'!$F$2:$F$30,"Y")</f>
        <v/>
      </c>
      <c r="F21" s="6">
        <f>COUNTIFS('Control Matrix'!$B$2:$B$30,"*"&amp;$A21&amp;"*",'Control Matrix'!$F$2:$F$30,"Partial")</f>
        <v/>
      </c>
      <c r="G21" s="6">
        <f>COUNTIFS('Control Matrix'!$B$2:$B$30,"*"&amp;$A21&amp;"*",'Control Matrix'!$F$2:$F$30,"N")</f>
        <v/>
      </c>
      <c r="H21" s="6">
        <f>IF(D21=0,"GAP: no control identified",IF(E21&gt;0,"Covered",IF(F21&gt;0,"Partly covered","GAP: control not in place")))</f>
        <v/>
      </c>
    </row>
    <row r="22">
      <c r="A22" s="9" t="inlineStr">
        <is>
          <t>R18</t>
        </is>
      </c>
      <c r="B22" s="7" t="inlineStr">
        <is>
          <t>Secrets or real data leak to the public repo (secrets protection depends on .gitignore alone)</t>
        </is>
      </c>
      <c r="C22" s="6" t="inlineStr">
        <is>
          <t>Medium</t>
        </is>
      </c>
      <c r="D22" s="6">
        <f>COUNTIF('Control Matrix'!$B$2:$B$30,"*"&amp;A22&amp;"*")</f>
        <v/>
      </c>
      <c r="E22" s="6">
        <f>COUNTIFS('Control Matrix'!$B$2:$B$30,"*"&amp;$A22&amp;"*",'Control Matrix'!$F$2:$F$30,"Y")</f>
        <v/>
      </c>
      <c r="F22" s="6">
        <f>COUNTIFS('Control Matrix'!$B$2:$B$30,"*"&amp;$A22&amp;"*",'Control Matrix'!$F$2:$F$30,"Partial")</f>
        <v/>
      </c>
      <c r="G22" s="6">
        <f>COUNTIFS('Control Matrix'!$B$2:$B$30,"*"&amp;$A22&amp;"*",'Control Matrix'!$F$2:$F$30,"N")</f>
        <v/>
      </c>
      <c r="H22" s="6">
        <f>IF(D22=0,"GAP: no control identified",IF(E22&gt;0,"Covered",IF(F22&gt;0,"Partly covered","GAP: control not in place")))</f>
        <v/>
      </c>
    </row>
    <row r="23">
      <c r="A23" s="9" t="inlineStr">
        <is>
          <t>R19</t>
        </is>
      </c>
      <c r="B23" s="7" t="inlineStr">
        <is>
          <t>Real client or personal data (e.g. contact names) processed without a data-protection assessment</t>
        </is>
      </c>
      <c r="C23" s="6" t="inlineStr">
        <is>
          <t>Medium</t>
        </is>
      </c>
      <c r="D23" s="6">
        <f>COUNTIF('Control Matrix'!$B$2:$B$30,"*"&amp;A23&amp;"*")</f>
        <v/>
      </c>
      <c r="E23" s="6">
        <f>COUNTIFS('Control Matrix'!$B$2:$B$30,"*"&amp;$A23&amp;"*",'Control Matrix'!$F$2:$F$30,"Y")</f>
        <v/>
      </c>
      <c r="F23" s="6">
        <f>COUNTIFS('Control Matrix'!$B$2:$B$30,"*"&amp;$A23&amp;"*",'Control Matrix'!$F$2:$F$30,"Partial")</f>
        <v/>
      </c>
      <c r="G23" s="6">
        <f>COUNTIFS('Control Matrix'!$B$2:$B$30,"*"&amp;$A23&amp;"*",'Control Matrix'!$F$2:$F$30,"N")</f>
        <v/>
      </c>
      <c r="H23" s="6">
        <f>IF(D23=0,"GAP: no control identified",IF(E23&gt;0,"Covered",IF(F23&gt;0,"Partly covered","GAP: control not in place")))</f>
        <v/>
      </c>
    </row>
    <row r="24">
      <c r="A24" s="9" t="inlineStr">
        <is>
          <t>R20</t>
        </is>
      </c>
      <c r="B24" s="7" t="inlineStr">
        <is>
          <t>Rules or thresholds changed without regression testing (no automated tests exist)</t>
        </is>
      </c>
      <c r="C24" s="6" t="inlineStr">
        <is>
          <t>High</t>
        </is>
      </c>
      <c r="D24" s="6">
        <f>COUNTIF('Control Matrix'!$B$2:$B$30,"*"&amp;A24&amp;"*")</f>
        <v/>
      </c>
      <c r="E24" s="6">
        <f>COUNTIFS('Control Matrix'!$B$2:$B$30,"*"&amp;$A24&amp;"*",'Control Matrix'!$F$2:$F$30,"Y")</f>
        <v/>
      </c>
      <c r="F24" s="6">
        <f>COUNTIFS('Control Matrix'!$B$2:$B$30,"*"&amp;$A24&amp;"*",'Control Matrix'!$F$2:$F$30,"Partial")</f>
        <v/>
      </c>
      <c r="G24" s="6">
        <f>COUNTIFS('Control Matrix'!$B$2:$B$30,"*"&amp;$A24&amp;"*",'Control Matrix'!$F$2:$F$30,"N")</f>
        <v/>
      </c>
      <c r="H24" s="6">
        <f>IF(D24=0,"GAP: no control identified",IF(E24&gt;0,"Covered",IF(F24&gt;0,"Partly covered","GAP: control not in place")))</f>
        <v/>
      </c>
    </row>
    <row r="25">
      <c r="A25" s="9" t="inlineStr">
        <is>
          <t>R21</t>
        </is>
      </c>
      <c r="B25" s="7" t="inlineStr">
        <is>
          <t>Outputs cannot be tied to a code version (no releases, tags or version stamps)</t>
        </is>
      </c>
      <c r="C25" s="6" t="inlineStr">
        <is>
          <t>Medium</t>
        </is>
      </c>
      <c r="D25" s="6">
        <f>COUNTIF('Control Matrix'!$B$2:$B$30,"*"&amp;A25&amp;"*")</f>
        <v/>
      </c>
      <c r="E25" s="6">
        <f>COUNTIFS('Control Matrix'!$B$2:$B$30,"*"&amp;$A25&amp;"*",'Control Matrix'!$F$2:$F$30,"Y")</f>
        <v/>
      </c>
      <c r="F25" s="6">
        <f>COUNTIFS('Control Matrix'!$B$2:$B$30,"*"&amp;$A25&amp;"*",'Control Matrix'!$F$2:$F$30,"Partial")</f>
        <v/>
      </c>
      <c r="G25" s="6">
        <f>COUNTIFS('Control Matrix'!$B$2:$B$30,"*"&amp;$A25&amp;"*",'Control Matrix'!$F$2:$F$30,"N")</f>
        <v/>
      </c>
      <c r="H25" s="6">
        <f>IF(D25=0,"GAP: no control identified",IF(E25&gt;0,"Covered",IF(F25&gt;0,"Partly covered","GAP: control not in place")))</f>
        <v/>
      </c>
    </row>
    <row r="26">
      <c r="A26" s="9" t="inlineStr">
        <is>
          <t>R22</t>
        </is>
      </c>
      <c r="B26" s="7" t="inlineStr">
        <is>
          <t>Vendor dependency: Xero trial expiry, API changes, Intuit sandbox changes</t>
        </is>
      </c>
      <c r="C26" s="6" t="inlineStr">
        <is>
          <t>Low</t>
        </is>
      </c>
      <c r="D26" s="6">
        <f>COUNTIF('Control Matrix'!$B$2:$B$30,"*"&amp;A26&amp;"*")</f>
        <v/>
      </c>
      <c r="E26" s="6">
        <f>COUNTIFS('Control Matrix'!$B$2:$B$30,"*"&amp;$A26&amp;"*",'Control Matrix'!$F$2:$F$30,"Y")</f>
        <v/>
      </c>
      <c r="F26" s="6">
        <f>COUNTIFS('Control Matrix'!$B$2:$B$30,"*"&amp;$A26&amp;"*",'Control Matrix'!$F$2:$F$30,"Partial")</f>
        <v/>
      </c>
      <c r="G26" s="6">
        <f>COUNTIFS('Control Matrix'!$B$2:$B$30,"*"&amp;$A26&amp;"*",'Control Matrix'!$F$2:$F$30,"N")</f>
        <v/>
      </c>
      <c r="H26" s="6">
        <f>IF(D26=0,"GAP: no control identified",IF(E26&gt;0,"Covered",IF(F26&gt;0,"Partly covered","GAP: control not in place")))</f>
        <v/>
      </c>
    </row>
    <row r="27">
      <c r="A27" s="9" t="inlineStr">
        <is>
          <t>R23</t>
        </is>
      </c>
      <c r="B27" s="7" t="inlineStr">
        <is>
          <t>Platform and library supply-chain dependency (Streamlit Cloud, unpinned packages)</t>
        </is>
      </c>
      <c r="C27" s="6" t="inlineStr">
        <is>
          <t>Low</t>
        </is>
      </c>
      <c r="D27" s="6">
        <f>COUNTIF('Control Matrix'!$B$2:$B$30,"*"&amp;A27&amp;"*")</f>
        <v/>
      </c>
      <c r="E27" s="6">
        <f>COUNTIFS('Control Matrix'!$B$2:$B$30,"*"&amp;$A27&amp;"*",'Control Matrix'!$F$2:$F$30,"Y")</f>
        <v/>
      </c>
      <c r="F27" s="6">
        <f>COUNTIFS('Control Matrix'!$B$2:$B$30,"*"&amp;$A27&amp;"*",'Control Matrix'!$F$2:$F$30,"Partial")</f>
        <v/>
      </c>
      <c r="G27" s="6">
        <f>COUNTIFS('Control Matrix'!$B$2:$B$30,"*"&amp;$A27&amp;"*",'Control Matrix'!$F$2:$F$30,"N")</f>
        <v/>
      </c>
      <c r="H27" s="6">
        <f>IF(D27=0,"GAP: no control identified",IF(E27&gt;0,"Covered",IF(F27&gt;0,"Partly covered","GAP: control not in place")))</f>
        <v/>
      </c>
    </row>
    <row r="28">
      <c r="A28" s="9" t="inlineStr">
        <is>
          <t>R24</t>
        </is>
      </c>
      <c r="B28" s="7" t="inlineStr">
        <is>
          <t>No run log or audit trail (input, code version, timestamp, output) so results cannot be re-performed or evidenced</t>
        </is>
      </c>
      <c r="C28" s="6" t="inlineStr">
        <is>
          <t>High</t>
        </is>
      </c>
      <c r="D28" s="6">
        <f>COUNTIF('Control Matrix'!$B$2:$B$30,"*"&amp;A28&amp;"*")</f>
        <v/>
      </c>
      <c r="E28" s="6">
        <f>COUNTIFS('Control Matrix'!$B$2:$B$30,"*"&amp;$A28&amp;"*",'Control Matrix'!$F$2:$F$30,"Y")</f>
        <v/>
      </c>
      <c r="F28" s="6">
        <f>COUNTIFS('Control Matrix'!$B$2:$B$30,"*"&amp;$A28&amp;"*",'Control Matrix'!$F$2:$F$30,"Partial")</f>
        <v/>
      </c>
      <c r="G28" s="6">
        <f>COUNTIFS('Control Matrix'!$B$2:$B$30,"*"&amp;$A28&amp;"*",'Control Matrix'!$F$2:$F$30,"N")</f>
        <v/>
      </c>
      <c r="H28" s="6">
        <f>IF(D28=0,"GAP: no control identified",IF(E28&gt;0,"Covered",IF(F28&gt;0,"Partly covered","GAP: control not in place")))</f>
        <v/>
      </c>
    </row>
    <row r="29">
      <c r="A29" s="9" t="inlineStr">
        <is>
          <t>R25</t>
        </is>
      </c>
      <c r="B29" s="7" t="inlineStr">
        <is>
          <t>No documented owner, intended use, known limitations or escalation route</t>
        </is>
      </c>
      <c r="C29" s="6" t="inlineStr">
        <is>
          <t>Medium</t>
        </is>
      </c>
      <c r="D29" s="6">
        <f>COUNTIF('Control Matrix'!$B$2:$B$30,"*"&amp;A29&amp;"*")</f>
        <v/>
      </c>
      <c r="E29" s="6">
        <f>COUNTIFS('Control Matrix'!$B$2:$B$30,"*"&amp;$A29&amp;"*",'Control Matrix'!$F$2:$F$30,"Y")</f>
        <v/>
      </c>
      <c r="F29" s="6">
        <f>COUNTIFS('Control Matrix'!$B$2:$B$30,"*"&amp;$A29&amp;"*",'Control Matrix'!$F$2:$F$30,"Partial")</f>
        <v/>
      </c>
      <c r="G29" s="6">
        <f>COUNTIFS('Control Matrix'!$B$2:$B$30,"*"&amp;$A29&amp;"*",'Control Matrix'!$F$2:$F$30,"N")</f>
        <v/>
      </c>
      <c r="H29" s="6">
        <f>IF(D29=0,"GAP: no control identified",IF(E29&gt;0,"Covered",IF(F29&gt;0,"Partly covered","GAP: control not in place")))</f>
        <v/>
      </c>
    </row>
    <row r="30">
      <c r="A30" s="9" t="inlineStr">
        <is>
          <t>R26</t>
        </is>
      </c>
      <c r="B30" s="7" t="inlineStr">
        <is>
          <t>Users are not told what the tool cannot detect, its known limits or that it is not for production use</t>
        </is>
      </c>
      <c r="C30" s="6" t="inlineStr">
        <is>
          <t>Medium</t>
        </is>
      </c>
      <c r="D30" s="6">
        <f>COUNTIF('Control Matrix'!$B$2:$B$30,"*"&amp;A30&amp;"*")</f>
        <v/>
      </c>
      <c r="E30" s="6">
        <f>COUNTIFS('Control Matrix'!$B$2:$B$30,"*"&amp;$A30&amp;"*",'Control Matrix'!$F$2:$F$30,"Y")</f>
        <v/>
      </c>
      <c r="F30" s="6">
        <f>COUNTIFS('Control Matrix'!$B$2:$B$30,"*"&amp;$A30&amp;"*",'Control Matrix'!$F$2:$F$30,"Partial")</f>
        <v/>
      </c>
      <c r="G30" s="6">
        <f>COUNTIFS('Control Matrix'!$B$2:$B$30,"*"&amp;$A30&amp;"*",'Control Matrix'!$F$2:$F$30,"N")</f>
        <v/>
      </c>
      <c r="H30" s="6">
        <f>IF(D30=0,"GAP: no control identified",IF(E30&gt;0,"Covered",IF(F30&gt;0,"Partly covered","GAP: control not in place")))</f>
        <v/>
      </c>
    </row>
    <row r="31">
      <c r="A31" s="9" t="inlineStr">
        <is>
          <t>R27</t>
        </is>
      </c>
      <c r="B31" s="7" t="inlineStr">
        <is>
          <t>Dashboard shows a hard-coded published score when the answer key is absent, which can be read as a live measurement</t>
        </is>
      </c>
      <c r="C31" s="6" t="inlineStr">
        <is>
          <t>Medium</t>
        </is>
      </c>
      <c r="D31" s="6">
        <f>COUNTIF('Control Matrix'!$B$2:$B$30,"*"&amp;A31&amp;"*")</f>
        <v/>
      </c>
      <c r="E31" s="6">
        <f>COUNTIFS('Control Matrix'!$B$2:$B$30,"*"&amp;$A31&amp;"*",'Control Matrix'!$F$2:$F$30,"Y")</f>
        <v/>
      </c>
      <c r="F31" s="6">
        <f>COUNTIFS('Control Matrix'!$B$2:$B$30,"*"&amp;$A31&amp;"*",'Control Matrix'!$F$2:$F$30,"Partial")</f>
        <v/>
      </c>
      <c r="G31" s="6">
        <f>COUNTIFS('Control Matrix'!$B$2:$B$30,"*"&amp;$A31&amp;"*",'Control Matrix'!$F$2:$F$30,"N")</f>
        <v/>
      </c>
      <c r="H31" s="6">
        <f>IF(D31=0,"GAP: no control identified",IF(E31&gt;0,"Covered",IF(F31&gt;0,"Partly covered","GAP: control not in place")))</f>
        <v/>
      </c>
    </row>
    <row r="32">
      <c r="A32" s="9" t="inlineStr">
        <is>
          <t>R28</t>
        </is>
      </c>
      <c r="B32" s="7" t="inlineStr">
        <is>
          <t>Reviewer is also the developer, and code was built with AI coding tools, weakening independence and provenance assurance</t>
        </is>
      </c>
      <c r="C32" s="6" t="inlineStr">
        <is>
          <t>Medium</t>
        </is>
      </c>
      <c r="D32" s="6">
        <f>COUNTIF('Control Matrix'!$B$2:$B$30,"*"&amp;A32&amp;"*")</f>
        <v/>
      </c>
      <c r="E32" s="6">
        <f>COUNTIFS('Control Matrix'!$B$2:$B$30,"*"&amp;$A32&amp;"*",'Control Matrix'!$F$2:$F$30,"Y")</f>
        <v/>
      </c>
      <c r="F32" s="6">
        <f>COUNTIFS('Control Matrix'!$B$2:$B$30,"*"&amp;$A32&amp;"*",'Control Matrix'!$F$2:$F$30,"Partial")</f>
        <v/>
      </c>
      <c r="G32" s="6">
        <f>COUNTIFS('Control Matrix'!$B$2:$B$30,"*"&amp;$A32&amp;"*",'Control Matrix'!$F$2:$F$30,"N")</f>
        <v/>
      </c>
      <c r="H32" s="6">
        <f>IF(D32=0,"GAP: no control identified",IF(E32&gt;0,"Covered",IF(F32&gt;0,"Partly covered","GAP: control not in place")))</f>
        <v/>
      </c>
    </row>
  </sheetData>
  <autoFilter ref="A4:H32"/>
  <conditionalFormatting sqref="H5:H32">
    <cfRule type="expression" priority="1" dxfId="0">
      <formula>LEFT(H5,3)="GAP"</formula>
    </cfRule>
    <cfRule type="expression" priority="2" dxfId="1">
      <formula>H5="Partly covered"</formula>
    </cfRule>
    <cfRule type="expression" priority="3" dxfId="2">
      <formula>H5="Covered"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2026-09-23T17:24:29Z</dcterms:created>
  <dcterms:modified xmlns:dcterms="http://purl.org/dc/terms/" xmlns:xsi="http://www.w3.org/2001/XMLSchema-instance" xsi:type="dcterms:W3CDTF">2026-09-23T19:21:04Z</dcterms:modified>
</cp:coreProperties>
</file>